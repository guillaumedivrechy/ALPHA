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Calcul Re" sheetId="2" state="visible" r:id="rId4"/>
    <sheet name="Tableau ΔP-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3" authorId="0">
      <text>
        <r>
          <rPr>
            <sz val="10"/>
            <rFont val="Arial"/>
            <family val="2"/>
          </rPr>
          <t xml:space="preserve">Valeur initiale du logiciel (qm_init = 0,1 kg/s, core/diaphragmes.py)</t>
        </r>
      </text>
    </comment>
  </commentList>
</comments>
</file>

<file path=xl/sharedStrings.xml><?xml version="1.0" encoding="utf-8"?>
<sst xmlns="http://schemas.openxmlformats.org/spreadsheetml/2006/main" count="230" uniqueCount="184">
  <si>
    <t xml:space="preserve">Calcul du nombre de Reynolds — banc aéraulique ISO 5167 / Miller</t>
  </si>
  <si>
    <t xml:space="preserve">Objet</t>
  </si>
  <si>
    <t xml:space="preserve">Reproduit le calcul du logiciel de pilotage (core/banc.py, core/diaphragmes.py, core/fluide.py, core/air_humide.py) : ΔP mesuré + P amont + PT100 -&gt; débit massique -&gt; Re conduite et Re veine.</t>
  </si>
  <si>
    <t xml:space="preserve">Mode d'emploi</t>
  </si>
  <si>
    <t xml:space="preserve">1. Onglet « Calcul Re » : saisir les cellules sur fond jaune, texte bleu (lectures capteurs, position de la vanne 3 voies).</t>
  </si>
  <si>
    <t xml:space="preserve">2. Les paramètres du banc (texte bleu, fond blanc) sont ceux de config.json ; les modifier seulement si config.json change.</t>
  </si>
  <si>
    <t xml:space="preserve">3. Le résultat retenu (encadré vert) utilise le capteur de la butée lue : ΔP ISO en butée ISO, ΔP Miller en butée Miller.</t>
  </si>
  <si>
    <t xml:space="preserve">4. Onglet « Tableau ΔP-Re » : Re en fonction du ΔP pour les deux diaphragmes, aux conditions (P, T, HR) saisies dans « Calcul Re ».</t>
  </si>
  <si>
    <t xml:space="preserve">Code couleur</t>
  </si>
  <si>
    <t xml:space="preserve">Texte bleu : valeur saisie (entrée ou paramètre) — Texte noir : formule — Texte vert : lien vers un autre onglet — Fond jaune : à renseigner à chaque calcul.</t>
  </si>
  <si>
    <t xml:space="preserve">Points à connaître</t>
  </si>
  <si>
    <t xml:space="preserve">• ISO 5167 : le coefficient C (Reader-Harris-Gallagher, prises d'angle) dépend du Re, lui-même fonction du débit : calcul itératif (10 itérations depuis qm = 0,1 kg/s, comme le logiciel).</t>
  </si>
  <si>
    <t xml:space="preserve">• Miller : C ne dépend que de β, pas d'itération.</t>
  </si>
  <si>
    <t xml:space="preserve">• P atm est une valeur fixe de config.json (patm_pa), pas une mesure : 1 % d'erreur sur P atm ≈ 0,5 % sur le débit et le Re.</t>
  </si>
  <si>
    <t xml:space="preserve">• Humidité relative &gt; 0 : formules de l'air humide (ρ et μ) ; = 0 : air sec (gaz parfait + Sutherland).</t>
  </si>
  <si>
    <t xml:space="preserve">• ΔP corrigé &lt; 0,3 Pa : débit nul (seuil de bruit du logiciel).</t>
  </si>
  <si>
    <t xml:space="preserve">• Re conduite calculé avec le diamètre conduite à 20 °C (D20 ISO), comme le logiciel ; Re veine = qm·Dh/(μ·S), indépendant de ρ.</t>
  </si>
  <si>
    <t xml:space="preserve">Vérification</t>
  </si>
  <si>
    <t xml:space="preserve">Valeurs contrôlées contre le logiciel (Banc.qm_depuis_mesures) sur plusieurs conditions de P, T, HR et ΔP : écart relatif &lt; 1e-6.</t>
  </si>
  <si>
    <t xml:space="preserve">Exemple (valeurs par défaut) : 20 °C, P amont 300 Pa, HR 50 %, ΔP ISO 496 Pa -&gt; Re conduite 26 868, Re veine 14 368.</t>
  </si>
  <si>
    <t xml:space="preserve">Calcul du Re depuis les capteurs de pression</t>
  </si>
  <si>
    <t xml:space="preserve">Formules du logiciel de pilotage (core/banc.py, core/diaphragmes.py, core/fluide.py, core/air_humide.py)</t>
  </si>
  <si>
    <t xml:space="preserve">Entrées capteurs (à saisir)</t>
  </si>
  <si>
    <t xml:space="preserve">Valeur</t>
  </si>
  <si>
    <t xml:space="preserve">Unité</t>
  </si>
  <si>
    <t xml:space="preserve">Formule / source</t>
  </si>
  <si>
    <t xml:space="preserve">RÉSULTAT (capteur de la butée lue)</t>
  </si>
  <si>
    <t xml:space="preserve">Position lue de la vanne 3 voies</t>
  </si>
  <si>
    <t xml:space="preserve">ISO</t>
  </si>
  <si>
    <t xml:space="preserve">ISO ou Miller : choisit le capteur ΔP exploité</t>
  </si>
  <si>
    <t xml:space="preserve">Diaphragme exploité</t>
  </si>
  <si>
    <t xml:space="preserve">ΔP ISO lu (capteur dp_iso_500)</t>
  </si>
  <si>
    <t xml:space="preserve">Pa</t>
  </si>
  <si>
    <t xml:space="preserve">Lecture brute, avant correction du zéro</t>
  </si>
  <si>
    <t xml:space="preserve">ΔP exploité [Pa]</t>
  </si>
  <si>
    <t xml:space="preserve">ΔP Miller lu (capteur dp_diaph_500)</t>
  </si>
  <si>
    <t xml:space="preserve">Débit massique [kg/s]</t>
  </si>
  <si>
    <t xml:space="preserve">P amont (capteur p_amont_500, relative)</t>
  </si>
  <si>
    <t xml:space="preserve">Pression effective amont ; non corrigée du zéro (comme le logiciel)</t>
  </si>
  <si>
    <t xml:space="preserve">Re conduite</t>
  </si>
  <si>
    <t xml:space="preserve">Température PT100</t>
  </si>
  <si>
    <t xml:space="preserve">°C</t>
  </si>
  <si>
    <t xml:space="preserve">Re veine</t>
  </si>
  <si>
    <t xml:space="preserve">ISO : diaphragme haut Re (&gt; 5 000 Re conduite) ; Miller : bas Re</t>
  </si>
  <si>
    <t xml:space="preserve">Paramètres du banc (config.json)</t>
  </si>
  <si>
    <t xml:space="preserve">P atmosphérique (fixe)</t>
  </si>
  <si>
    <t xml:space="preserve">config.json : patm_pa</t>
  </si>
  <si>
    <t xml:space="preserve">Humidité relative</t>
  </si>
  <si>
    <t xml:space="preserve">%</t>
  </si>
  <si>
    <t xml:space="preserve">config.json : fluide.humidite_relative (0 = air sec)</t>
  </si>
  <si>
    <t xml:space="preserve">Zéro capteur ΔP ISO</t>
  </si>
  <si>
    <t xml:space="preserve">config.json : zero_capteurs.dp_iso_500 (apprentissage « Zéro capteurs »)</t>
  </si>
  <si>
    <t xml:space="preserve">Zéro capteur ΔP Miller</t>
  </si>
  <si>
    <t xml:space="preserve">config.json : zero_capteurs.dp_diaph_500</t>
  </si>
  <si>
    <t xml:space="preserve">γ (coefficient isentropique)</t>
  </si>
  <si>
    <t xml:space="preserve">-</t>
  </si>
  <si>
    <t xml:space="preserve">config.json : fluide.gamma</t>
  </si>
  <si>
    <t xml:space="preserve">R air sec</t>
  </si>
  <si>
    <t xml:space="preserve">J/(kg·K)</t>
  </si>
  <si>
    <t xml:space="preserve">core/fluide.py : R_AIR</t>
  </si>
  <si>
    <t xml:space="preserve">Sutherland μ réf.</t>
  </si>
  <si>
    <t xml:space="preserve">Pa·s</t>
  </si>
  <si>
    <t xml:space="preserve">config.json : fluide.sutherland_mu_ref (air sec seulement)</t>
  </si>
  <si>
    <t xml:space="preserve">Sutherland T réf.</t>
  </si>
  <si>
    <t xml:space="preserve">K</t>
  </si>
  <si>
    <t xml:space="preserve">config.json : fluide.sutherland_t_ref</t>
  </si>
  <si>
    <t xml:space="preserve">Sutherland S</t>
  </si>
  <si>
    <t xml:space="preserve">config.json : fluide.sutherland_s</t>
  </si>
  <si>
    <t xml:space="preserve">Seuil de bruit ΔP (débit nul en dessous)</t>
  </si>
  <si>
    <t xml:space="preserve">core/diaphragmes.py : ΔP &lt; 0,3 Pa -&gt; qm = 0</t>
  </si>
  <si>
    <t xml:space="preserve">Géométrie (config.json)</t>
  </si>
  <si>
    <t xml:space="preserve">ISO 5167</t>
  </si>
  <si>
    <t xml:space="preserve">Miller</t>
  </si>
  <si>
    <t xml:space="preserve">Source</t>
  </si>
  <si>
    <t xml:space="preserve">Diamètre intérieur conduite à 20 °C</t>
  </si>
  <si>
    <t xml:space="preserve">mm</t>
  </si>
  <si>
    <t xml:space="preserve">diaphragme_iso / diaphragme_miller.D20_mm</t>
  </si>
  <si>
    <t xml:space="preserve">Diamètre orifice à 20 °C</t>
  </si>
  <si>
    <t xml:space="preserve">diaphragme_iso / diaphragme_miller.d20_mm</t>
  </si>
  <si>
    <t xml:space="preserve">Dilatation conduite α</t>
  </si>
  <si>
    <t xml:space="preserve">1/°C</t>
  </si>
  <si>
    <t xml:space="preserve">diaphragme_iso / diaphragme_miller.alpha_conduite</t>
  </si>
  <si>
    <t xml:space="preserve">Dilatation diaphragme α</t>
  </si>
  <si>
    <t xml:space="preserve">diaphragme_iso / diaphragme_miller.alpha_diaphragme</t>
  </si>
  <si>
    <t xml:space="preserve">Hauteur veine H</t>
  </si>
  <si>
    <t xml:space="preserve">m</t>
  </si>
  <si>
    <t xml:space="preserve">config.json : veine.hauteur_m</t>
  </si>
  <si>
    <t xml:space="preserve">Largeur veine W</t>
  </si>
  <si>
    <t xml:space="preserve">config.json : veine.largeur_m</t>
  </si>
  <si>
    <t xml:space="preserve">Propriétés de l'air</t>
  </si>
  <si>
    <t xml:space="preserve">P1 absolue amont</t>
  </si>
  <si>
    <t xml:space="preserve">P1 = P atm + P amont</t>
  </si>
  <si>
    <t xml:space="preserve">T absolue</t>
  </si>
  <si>
    <t xml:space="preserve">Pression de vapeur saturante Pvs</t>
  </si>
  <si>
    <t xml:space="preserve">Magnus-Tetens : 10^(7,625·t/(241+t)+2,7877) ; sous 0 °C : 9,756·t/(272,7+t)</t>
  </si>
  <si>
    <t xml:space="preserve">Pression partielle de vapeur Pv</t>
  </si>
  <si>
    <t xml:space="preserve">Pv = HR·Pvs</t>
  </si>
  <si>
    <t xml:space="preserve">Humidité spécifique x</t>
  </si>
  <si>
    <t xml:space="preserve">kg/kg</t>
  </si>
  <si>
    <t xml:space="preserve">x = 0,622·Pv/(P1 − Pv)</t>
  </si>
  <si>
    <t xml:space="preserve">Volume spécifique v</t>
  </si>
  <si>
    <t xml:space="preserve">m³/kg</t>
  </si>
  <si>
    <t xml:space="preserve">v = 461,24·(0,622 + x)·T/P1</t>
  </si>
  <si>
    <t xml:space="preserve">ρ air humide</t>
  </si>
  <si>
    <t xml:space="preserve">kg/m³</t>
  </si>
  <si>
    <t xml:space="preserve">ρ = (1 + x)/v</t>
  </si>
  <si>
    <t xml:space="preserve">μ air humide</t>
  </si>
  <si>
    <t xml:space="preserve">μ = (17,1 + 0,048·t)·10⁻⁶</t>
  </si>
  <si>
    <t xml:space="preserve">ρ air sec</t>
  </si>
  <si>
    <t xml:space="preserve">ρ = P1/(R·T)</t>
  </si>
  <si>
    <t xml:space="preserve">μ air sec (Sutherland)</t>
  </si>
  <si>
    <t xml:space="preserve">μ = μréf·(T/Tréf)^1,5·(Tréf + S)/(T + S)</t>
  </si>
  <si>
    <t xml:space="preserve">ρ retenue</t>
  </si>
  <si>
    <t xml:space="preserve">Air humide si HR &gt; 0, sinon air sec</t>
  </si>
  <si>
    <t xml:space="preserve">μ retenue</t>
  </si>
  <si>
    <t xml:space="preserve">ν = μ/ρ</t>
  </si>
  <si>
    <t xml:space="preserve">m²/s</t>
  </si>
  <si>
    <t xml:space="preserve">Veine d'essai</t>
  </si>
  <si>
    <t xml:space="preserve">Section S</t>
  </si>
  <si>
    <t xml:space="preserve">m²</t>
  </si>
  <si>
    <t xml:space="preserve">S = H·W</t>
  </si>
  <si>
    <t xml:space="preserve">Diamètre hydraulique Dh</t>
  </si>
  <si>
    <t xml:space="preserve">Dh = 4·S/(2·(H + W))</t>
  </si>
  <si>
    <t xml:space="preserve">Rapport Re conduite / Re veine</t>
  </si>
  <si>
    <t xml:space="preserve">Rapport = 2·(H + W)/(π·D20) ; ne dépend que de la géométrie</t>
  </si>
  <si>
    <t xml:space="preserve">Débit et Reynolds par diaphragme</t>
  </si>
  <si>
    <t xml:space="preserve">Formule</t>
  </si>
  <si>
    <t xml:space="preserve">ΔP corrigé du zéro</t>
  </si>
  <si>
    <t xml:space="preserve">ΔP = lecture − zéro</t>
  </si>
  <si>
    <t xml:space="preserve">D à la température t</t>
  </si>
  <si>
    <t xml:space="preserve">D = D20·(1 + α·(t − 20))</t>
  </si>
  <si>
    <t xml:space="preserve">d à la température t</t>
  </si>
  <si>
    <t xml:space="preserve">d = d20·(1 + α·(t − 20))</t>
  </si>
  <si>
    <t xml:space="preserve">β = d/D</t>
  </si>
  <si>
    <t xml:space="preserve">E = 1/√(1 − β⁴)</t>
  </si>
  <si>
    <t xml:space="preserve">Facteur de vitesse d'approche</t>
  </si>
  <si>
    <t xml:space="preserve">ε (ISO) / Y1 (Miller)</t>
  </si>
  <si>
    <t xml:space="preserve">ε = 1 − (0,41 + 0,35·β⁴)·ΔP/(γ·P1)</t>
  </si>
  <si>
    <t xml:space="preserve">Coefficient de décharge C</t>
  </si>
  <si>
    <t xml:space="preserve">ISO : Reader-Harris-Gallagher (itération ci-dessous) ; Miller : 0,7746 − 0,1334·β^2,1 + 1,4098·β⁸ + 0,0675·β⁴/(1−β⁴) + 0,3865·β³</t>
  </si>
  <si>
    <t xml:space="preserve">Débit massique qm</t>
  </si>
  <si>
    <t xml:space="preserve">kg/s</t>
  </si>
  <si>
    <t xml:space="preserve">qm = C·E·ε·(π·d²/4)·√(2·ΔP·ρ)</t>
  </si>
  <si>
    <t xml:space="preserve">Re conduite = 4·qm/(π·D20·μ)  (D20 de la conduite ISO, comme le logiciel)</t>
  </si>
  <si>
    <t xml:space="preserve">Re veine = qm·Dh/(μ·S) = 2·qm/(μ·(H + W))</t>
  </si>
  <si>
    <t xml:space="preserve">Débit volumique</t>
  </si>
  <si>
    <t xml:space="preserve">m³/h</t>
  </si>
  <si>
    <t xml:space="preserve">qv = qm/ρ</t>
  </si>
  <si>
    <t xml:space="preserve">Vitesse en veine</t>
  </si>
  <si>
    <t xml:space="preserve">m/s</t>
  </si>
  <si>
    <t xml:space="preserve">v = qm/(ρ·S)</t>
  </si>
  <si>
    <t xml:space="preserve">Itération ISO 5167 (C de Reader-Harris-Gallagher, prises d'angle L1 = L2' = 0)</t>
  </si>
  <si>
    <t xml:space="preserve">Itération k</t>
  </si>
  <si>
    <t xml:space="preserve">qm_k [kg/s]</t>
  </si>
  <si>
    <t xml:space="preserve">Re_D,k = max(4·qm_k/(π·D·μ) ; 100)</t>
  </si>
  <si>
    <t xml:space="preserve">A_k = (19 000·β/Re_D,k)^0,8</t>
  </si>
  <si>
    <t xml:space="preserve">C_k (RHG)</t>
  </si>
  <si>
    <t xml:space="preserve">Convergence : écart relatif entre les deux dernières itérations</t>
  </si>
  <si>
    <t xml:space="preserve">Re en fonction du ΔP corrigé, ISO 5167 et Miller</t>
  </si>
  <si>
    <t xml:space="preserve">Conditions (liens vers « Calcul Re ») :</t>
  </si>
  <si>
    <t xml:space="preserve">P1 abs [Pa]</t>
  </si>
  <si>
    <t xml:space="preserve">t [°C]</t>
  </si>
  <si>
    <t xml:space="preserve">HR [%]</t>
  </si>
  <si>
    <t xml:space="preserve">ρ [kg/m³]</t>
  </si>
  <si>
    <t xml:space="preserve">μ [Pa·s]</t>
  </si>
  <si>
    <t xml:space="preserve">Itérations ISO : qm_k (k = 1…10), qm_0 = 0,1 kg/s</t>
  </si>
  <si>
    <t xml:space="preserve">ΔP corrigé [Pa]</t>
  </si>
  <si>
    <t xml:space="preserve">Miller qm [kg/s]</t>
  </si>
  <si>
    <t xml:space="preserve">Miller Re conduite</t>
  </si>
  <si>
    <t xml:space="preserve">Miller Re veine</t>
  </si>
  <si>
    <t xml:space="preserve">ISO qm [kg/s]</t>
  </si>
  <si>
    <t xml:space="preserve">ISO Re conduite</t>
  </si>
  <si>
    <t xml:space="preserve">ISO Re veine</t>
  </si>
  <si>
    <t xml:space="preserve">qm_1</t>
  </si>
  <si>
    <t xml:space="preserve">qm_2</t>
  </si>
  <si>
    <t xml:space="preserve">qm_3</t>
  </si>
  <si>
    <t xml:space="preserve">qm_4</t>
  </si>
  <si>
    <t xml:space="preserve">qm_5</t>
  </si>
  <si>
    <t xml:space="preserve">qm_6</t>
  </si>
  <si>
    <t xml:space="preserve">qm_7</t>
  </si>
  <si>
    <t xml:space="preserve">qm_8</t>
  </si>
  <si>
    <t xml:space="preserve">qm_9</t>
  </si>
  <si>
    <t xml:space="preserve">qm_10</t>
  </si>
  <si>
    <t xml:space="preserve">ΔP corrigé (après soustraction du zéro) : valeurs modifiables (fond jaune). Capteurs 0-500 Pa. Domaine d'usage : Miller sous ≈ 5 000 Re conduite, ISO au-dessus.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</si>
</sst>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.00"/>
    <numFmt numFmtId="167" formatCode="0.000000"/>
    <numFmt numFmtId="168" formatCode="#,##0"/>
    <numFmt numFmtId="169" formatCode="0"/>
    <numFmt numFmtId="170" formatCode="0.0"/>
    <numFmt numFmtId="171" formatCode="0.000"/>
    <numFmt numFmtId="172" formatCode="0.00000"/>
    <numFmt numFmtId="173" formatCode="0.000E+00"/>
    <numFmt numFmtId="174" formatCode="0.0E+00"/>
    <numFmt numFmtId="175" formatCode="0.0000"/>
    <numFmt numFmtId="176" formatCode="0.0000E+00"/>
    <numFmt numFmtId="177" formatCode="0.0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23.8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4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5" hidden="false" customHeight="false" outlineLevel="0" collapsed="false">
      <c r="A4" s="7" t="s">
        <v>22</v>
      </c>
      <c r="B4" s="7" t="s">
        <v>23</v>
      </c>
      <c r="C4" s="7"/>
      <c r="D4" s="7" t="s">
        <v>24</v>
      </c>
      <c r="E4" s="7" t="s">
        <v>25</v>
      </c>
      <c r="F4" s="5"/>
      <c r="G4" s="7" t="s">
        <v>26</v>
      </c>
      <c r="H4" s="8"/>
      <c r="I4" s="5"/>
      <c r="J4" s="5"/>
      <c r="K4" s="5"/>
      <c r="L4" s="5"/>
    </row>
    <row r="5" customFormat="false" ht="15" hidden="false" customHeight="false" outlineLevel="0" collapsed="false">
      <c r="A5" s="5" t="s">
        <v>27</v>
      </c>
      <c r="B5" s="9" t="s">
        <v>28</v>
      </c>
      <c r="C5" s="5"/>
      <c r="D5" s="5"/>
      <c r="E5" s="6" t="s">
        <v>29</v>
      </c>
      <c r="F5" s="5"/>
      <c r="G5" s="10" t="s">
        <v>30</v>
      </c>
      <c r="H5" s="11" t="str">
        <f aca="false">$B$5</f>
        <v>ISO</v>
      </c>
      <c r="I5" s="5"/>
      <c r="J5" s="5"/>
      <c r="K5" s="5"/>
      <c r="L5" s="5"/>
    </row>
    <row r="6" customFormat="false" ht="15" hidden="false" customHeight="false" outlineLevel="0" collapsed="false">
      <c r="A6" s="5" t="s">
        <v>31</v>
      </c>
      <c r="B6" s="12" t="n">
        <v>496</v>
      </c>
      <c r="C6" s="5"/>
      <c r="D6" s="5" t="s">
        <v>32</v>
      </c>
      <c r="E6" s="6" t="s">
        <v>33</v>
      </c>
      <c r="F6" s="5"/>
      <c r="G6" s="10" t="s">
        <v>34</v>
      </c>
      <c r="H6" s="13" t="n">
        <f aca="false">IF($B$5="ISO",$B$57,$C$57)</f>
        <v>495.98</v>
      </c>
      <c r="I6" s="5"/>
      <c r="J6" s="5"/>
      <c r="K6" s="5"/>
      <c r="L6" s="5"/>
    </row>
    <row r="7" customFormat="false" ht="15" hidden="false" customHeight="false" outlineLevel="0" collapsed="false">
      <c r="A7" s="5" t="s">
        <v>35</v>
      </c>
      <c r="B7" s="12" t="n">
        <v>100</v>
      </c>
      <c r="C7" s="5"/>
      <c r="D7" s="5" t="s">
        <v>32</v>
      </c>
      <c r="E7" s="6" t="s">
        <v>33</v>
      </c>
      <c r="F7" s="5"/>
      <c r="G7" s="10" t="s">
        <v>36</v>
      </c>
      <c r="H7" s="14" t="n">
        <f aca="false">IF($B$5="ISO",$B$64,$C$64)</f>
        <v>0.029191828364057</v>
      </c>
      <c r="I7" s="5"/>
      <c r="J7" s="5"/>
      <c r="K7" s="5"/>
      <c r="L7" s="5"/>
    </row>
    <row r="8" customFormat="false" ht="15" hidden="false" customHeight="false" outlineLevel="0" collapsed="false">
      <c r="A8" s="5" t="s">
        <v>37</v>
      </c>
      <c r="B8" s="12" t="n">
        <v>300</v>
      </c>
      <c r="C8" s="5"/>
      <c r="D8" s="5" t="s">
        <v>32</v>
      </c>
      <c r="E8" s="6" t="s">
        <v>38</v>
      </c>
      <c r="F8" s="5"/>
      <c r="G8" s="10" t="s">
        <v>39</v>
      </c>
      <c r="H8" s="15" t="n">
        <f aca="false">IF($B$5="ISO",$B$65,$C$65)</f>
        <v>26867.3541460572</v>
      </c>
      <c r="I8" s="5"/>
      <c r="J8" s="5"/>
      <c r="K8" s="5"/>
      <c r="L8" s="5"/>
    </row>
    <row r="9" customFormat="false" ht="15" hidden="false" customHeight="false" outlineLevel="0" collapsed="false">
      <c r="A9" s="5" t="s">
        <v>40</v>
      </c>
      <c r="B9" s="12" t="n">
        <v>20</v>
      </c>
      <c r="C9" s="5"/>
      <c r="D9" s="5" t="s">
        <v>41</v>
      </c>
      <c r="E9" s="6"/>
      <c r="F9" s="5"/>
      <c r="G9" s="10" t="s">
        <v>42</v>
      </c>
      <c r="H9" s="15" t="n">
        <f aca="false">IF($B$5="ISO",$B$66,$C$66)</f>
        <v>14367.8249607762</v>
      </c>
      <c r="I9" s="5"/>
      <c r="J9" s="5"/>
      <c r="K9" s="5"/>
      <c r="L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6" t="s">
        <v>43</v>
      </c>
      <c r="H11" s="5"/>
      <c r="I11" s="5"/>
      <c r="J11" s="5"/>
      <c r="K11" s="5"/>
      <c r="L11" s="5"/>
    </row>
    <row r="12" customFormat="false" ht="15" hidden="false" customHeight="false" outlineLevel="0" collapsed="false">
      <c r="A12" s="7" t="s">
        <v>44</v>
      </c>
      <c r="B12" s="7" t="s">
        <v>23</v>
      </c>
      <c r="C12" s="7"/>
      <c r="D12" s="7" t="s">
        <v>24</v>
      </c>
      <c r="E12" s="7" t="s">
        <v>25</v>
      </c>
      <c r="F12" s="5"/>
      <c r="G12" s="5"/>
      <c r="H12" s="5"/>
      <c r="I12" s="5"/>
      <c r="J12" s="5"/>
      <c r="K12" s="5"/>
      <c r="L12" s="5"/>
    </row>
    <row r="13" customFormat="false" ht="15" hidden="false" customHeight="false" outlineLevel="0" collapsed="false">
      <c r="A13" s="5" t="s">
        <v>45</v>
      </c>
      <c r="B13" s="16" t="n">
        <v>101325</v>
      </c>
      <c r="C13" s="5"/>
      <c r="D13" s="5" t="s">
        <v>32</v>
      </c>
      <c r="E13" s="6" t="s">
        <v>46</v>
      </c>
      <c r="F13" s="5"/>
      <c r="G13" s="5"/>
      <c r="H13" s="5"/>
      <c r="I13" s="5"/>
      <c r="J13" s="5"/>
      <c r="K13" s="5"/>
      <c r="L13" s="5"/>
    </row>
    <row r="14" customFormat="false" ht="15" hidden="false" customHeight="false" outlineLevel="0" collapsed="false">
      <c r="A14" s="5" t="s">
        <v>47</v>
      </c>
      <c r="B14" s="17" t="n">
        <v>50</v>
      </c>
      <c r="C14" s="5"/>
      <c r="D14" s="5" t="s">
        <v>48</v>
      </c>
      <c r="E14" s="6" t="s">
        <v>49</v>
      </c>
      <c r="F14" s="5"/>
      <c r="G14" s="5"/>
      <c r="H14" s="5"/>
      <c r="I14" s="5"/>
      <c r="J14" s="5"/>
      <c r="K14" s="5"/>
      <c r="L14" s="5"/>
    </row>
    <row r="15" customFormat="false" ht="15" hidden="false" customHeight="false" outlineLevel="0" collapsed="false">
      <c r="A15" s="5" t="s">
        <v>50</v>
      </c>
      <c r="B15" s="18" t="n">
        <v>0.02</v>
      </c>
      <c r="C15" s="5"/>
      <c r="D15" s="5" t="s">
        <v>32</v>
      </c>
      <c r="E15" s="6" t="s">
        <v>51</v>
      </c>
      <c r="F15" s="5"/>
      <c r="G15" s="5"/>
      <c r="H15" s="5"/>
      <c r="I15" s="5"/>
      <c r="J15" s="5"/>
      <c r="K15" s="5"/>
      <c r="L15" s="5"/>
    </row>
    <row r="16" customFormat="false" ht="15" hidden="false" customHeight="false" outlineLevel="0" collapsed="false">
      <c r="A16" s="5" t="s">
        <v>52</v>
      </c>
      <c r="B16" s="18" t="n">
        <v>0.01</v>
      </c>
      <c r="C16" s="5"/>
      <c r="D16" s="5" t="s">
        <v>32</v>
      </c>
      <c r="E16" s="6" t="s">
        <v>53</v>
      </c>
      <c r="F16" s="5"/>
      <c r="G16" s="5"/>
      <c r="H16" s="5"/>
      <c r="I16" s="5"/>
      <c r="J16" s="5"/>
      <c r="K16" s="5"/>
      <c r="L16" s="5"/>
    </row>
    <row r="17" customFormat="false" ht="15" hidden="false" customHeight="false" outlineLevel="0" collapsed="false">
      <c r="A17" s="5" t="s">
        <v>54</v>
      </c>
      <c r="B17" s="19" t="n">
        <v>1.40273</v>
      </c>
      <c r="C17" s="5"/>
      <c r="D17" s="5" t="s">
        <v>55</v>
      </c>
      <c r="E17" s="6" t="s">
        <v>56</v>
      </c>
      <c r="F17" s="5"/>
      <c r="G17" s="5"/>
      <c r="H17" s="5"/>
      <c r="I17" s="5"/>
      <c r="J17" s="5"/>
      <c r="K17" s="5"/>
      <c r="L17" s="5"/>
    </row>
    <row r="18" customFormat="false" ht="15" hidden="false" customHeight="false" outlineLevel="0" collapsed="false">
      <c r="A18" s="5" t="s">
        <v>57</v>
      </c>
      <c r="B18" s="18" t="n">
        <v>287.058</v>
      </c>
      <c r="C18" s="5"/>
      <c r="D18" s="5" t="s">
        <v>58</v>
      </c>
      <c r="E18" s="6" t="s">
        <v>59</v>
      </c>
      <c r="F18" s="5"/>
      <c r="G18" s="5"/>
      <c r="H18" s="5"/>
      <c r="I18" s="5"/>
      <c r="J18" s="5"/>
      <c r="K18" s="5"/>
      <c r="L18" s="5"/>
    </row>
    <row r="19" customFormat="false" ht="15" hidden="false" customHeight="false" outlineLevel="0" collapsed="false">
      <c r="A19" s="5" t="s">
        <v>60</v>
      </c>
      <c r="B19" s="20" t="n">
        <v>1.72E-005</v>
      </c>
      <c r="C19" s="5"/>
      <c r="D19" s="5" t="s">
        <v>61</v>
      </c>
      <c r="E19" s="6" t="s">
        <v>62</v>
      </c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5" t="s">
        <v>63</v>
      </c>
      <c r="B20" s="21" t="n">
        <v>273.15</v>
      </c>
      <c r="C20" s="5"/>
      <c r="D20" s="5" t="s">
        <v>64</v>
      </c>
      <c r="E20" s="6" t="s">
        <v>65</v>
      </c>
      <c r="F20" s="5"/>
      <c r="G20" s="5"/>
      <c r="H20" s="5"/>
      <c r="I20" s="5"/>
      <c r="J20" s="5"/>
      <c r="K20" s="5"/>
      <c r="L20" s="5"/>
    </row>
    <row r="21" customFormat="false" ht="15" hidden="false" customHeight="false" outlineLevel="0" collapsed="false">
      <c r="A21" s="5" t="s">
        <v>66</v>
      </c>
      <c r="B21" s="17" t="n">
        <v>110.4</v>
      </c>
      <c r="C21" s="5"/>
      <c r="D21" s="5" t="s">
        <v>64</v>
      </c>
      <c r="E21" s="6" t="s">
        <v>67</v>
      </c>
      <c r="F21" s="5"/>
      <c r="G21" s="5"/>
      <c r="H21" s="5"/>
      <c r="I21" s="5"/>
      <c r="J21" s="5"/>
      <c r="K21" s="5"/>
      <c r="L21" s="5"/>
    </row>
    <row r="22" customFormat="false" ht="15" hidden="false" customHeight="false" outlineLevel="0" collapsed="false">
      <c r="A22" s="5" t="s">
        <v>68</v>
      </c>
      <c r="B22" s="17" t="n">
        <v>0.3</v>
      </c>
      <c r="C22" s="5"/>
      <c r="D22" s="5" t="s">
        <v>32</v>
      </c>
      <c r="E22" s="6" t="s">
        <v>69</v>
      </c>
      <c r="F22" s="5"/>
      <c r="G22" s="5"/>
      <c r="H22" s="5"/>
      <c r="I22" s="5"/>
      <c r="J22" s="5"/>
      <c r="K22" s="5"/>
      <c r="L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7" t="s">
        <v>70</v>
      </c>
      <c r="B25" s="7" t="s">
        <v>71</v>
      </c>
      <c r="C25" s="7" t="s">
        <v>72</v>
      </c>
      <c r="D25" s="7" t="s">
        <v>24</v>
      </c>
      <c r="E25" s="7" t="s">
        <v>73</v>
      </c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">
        <v>74</v>
      </c>
      <c r="B26" s="18" t="n">
        <v>76.6</v>
      </c>
      <c r="C26" s="18" t="n">
        <v>76.6</v>
      </c>
      <c r="D26" s="5" t="s">
        <v>75</v>
      </c>
      <c r="E26" s="6" t="s">
        <v>76</v>
      </c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">
        <v>77</v>
      </c>
      <c r="B27" s="18" t="n">
        <v>41.018</v>
      </c>
      <c r="C27" s="18" t="n">
        <v>21.113</v>
      </c>
      <c r="D27" s="5" t="s">
        <v>75</v>
      </c>
      <c r="E27" s="6" t="s">
        <v>78</v>
      </c>
      <c r="F27" s="5"/>
      <c r="G27" s="5"/>
      <c r="H27" s="5"/>
      <c r="I27" s="5"/>
      <c r="J27" s="5"/>
      <c r="K27" s="5"/>
      <c r="L27" s="5"/>
    </row>
    <row r="28" customFormat="false" ht="15" hidden="false" customHeight="false" outlineLevel="0" collapsed="false">
      <c r="A28" s="5" t="s">
        <v>79</v>
      </c>
      <c r="B28" s="22" t="n">
        <v>2.4E-005</v>
      </c>
      <c r="C28" s="22" t="n">
        <v>8E-005</v>
      </c>
      <c r="D28" s="5" t="s">
        <v>80</v>
      </c>
      <c r="E28" s="6" t="s">
        <v>81</v>
      </c>
      <c r="F28" s="5"/>
      <c r="G28" s="5"/>
      <c r="H28" s="5"/>
      <c r="I28" s="5"/>
      <c r="J28" s="5"/>
      <c r="K28" s="5"/>
      <c r="L28" s="5"/>
    </row>
    <row r="29" customFormat="false" ht="15" hidden="false" customHeight="false" outlineLevel="0" collapsed="false">
      <c r="A29" s="5" t="s">
        <v>82</v>
      </c>
      <c r="B29" s="22" t="n">
        <v>2.4E-005</v>
      </c>
      <c r="C29" s="22" t="n">
        <v>1.7E-005</v>
      </c>
      <c r="D29" s="5" t="s">
        <v>80</v>
      </c>
      <c r="E29" s="6" t="s">
        <v>83</v>
      </c>
      <c r="F29" s="5"/>
      <c r="G29" s="5"/>
      <c r="H29" s="5"/>
      <c r="I29" s="5"/>
      <c r="J29" s="5"/>
      <c r="K29" s="5"/>
      <c r="L29" s="5"/>
    </row>
    <row r="30" customFormat="false" ht="15" hidden="false" customHeight="false" outlineLevel="0" collapsed="false">
      <c r="A30" s="5" t="s">
        <v>84</v>
      </c>
      <c r="B30" s="23" t="n">
        <v>0.05</v>
      </c>
      <c r="C30" s="5"/>
      <c r="D30" s="5" t="s">
        <v>85</v>
      </c>
      <c r="E30" s="6" t="s">
        <v>86</v>
      </c>
      <c r="F30" s="5"/>
      <c r="G30" s="5"/>
      <c r="H30" s="5"/>
      <c r="I30" s="5"/>
      <c r="J30" s="5"/>
      <c r="K30" s="5"/>
      <c r="L30" s="5"/>
    </row>
    <row r="31" customFormat="false" ht="15" hidden="false" customHeight="false" outlineLevel="0" collapsed="false">
      <c r="A31" s="5" t="s">
        <v>87</v>
      </c>
      <c r="B31" s="23" t="n">
        <v>0.175</v>
      </c>
      <c r="C31" s="5"/>
      <c r="D31" s="5" t="s">
        <v>85</v>
      </c>
      <c r="E31" s="6" t="s">
        <v>88</v>
      </c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7" t="s">
        <v>89</v>
      </c>
      <c r="B34" s="7" t="s">
        <v>23</v>
      </c>
      <c r="C34" s="7"/>
      <c r="D34" s="7" t="s">
        <v>24</v>
      </c>
      <c r="E34" s="7" t="s">
        <v>25</v>
      </c>
      <c r="F34" s="5"/>
      <c r="G34" s="5"/>
      <c r="H34" s="5"/>
      <c r="I34" s="5"/>
      <c r="J34" s="5"/>
      <c r="K34" s="5"/>
      <c r="L34" s="5"/>
    </row>
    <row r="35" customFormat="false" ht="15" hidden="false" customHeight="false" outlineLevel="0" collapsed="false">
      <c r="A35" s="5" t="s">
        <v>90</v>
      </c>
      <c r="B35" s="24" t="n">
        <f aca="false">$B$13+$B$8</f>
        <v>101625</v>
      </c>
      <c r="C35" s="5"/>
      <c r="D35" s="5" t="s">
        <v>32</v>
      </c>
      <c r="E35" s="6" t="s">
        <v>91</v>
      </c>
      <c r="F35" s="5"/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A36" s="5" t="s">
        <v>92</v>
      </c>
      <c r="B36" s="25" t="n">
        <f aca="false">$B$9+273.15</f>
        <v>293.15</v>
      </c>
      <c r="C36" s="5"/>
      <c r="D36" s="5" t="s">
        <v>64</v>
      </c>
      <c r="E36" s="6"/>
      <c r="F36" s="5"/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5" t="s">
        <v>93</v>
      </c>
      <c r="B37" s="25" t="n">
        <f aca="false">10^(IF($B$9&gt;=0,7.625*$B$9/(241+$B$9),9.756*$B$9/(272.7+$B$9))+2.7877)</f>
        <v>2355.0014981235</v>
      </c>
      <c r="C37" s="5"/>
      <c r="D37" s="5" t="s">
        <v>32</v>
      </c>
      <c r="E37" s="6" t="s">
        <v>94</v>
      </c>
      <c r="F37" s="5"/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5" t="s">
        <v>95</v>
      </c>
      <c r="B38" s="25" t="n">
        <f aca="false">$B$14/100*$B$37</f>
        <v>1177.50074906175</v>
      </c>
      <c r="C38" s="5"/>
      <c r="D38" s="5" t="s">
        <v>32</v>
      </c>
      <c r="E38" s="6" t="s">
        <v>96</v>
      </c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5" t="s">
        <v>97</v>
      </c>
      <c r="B39" s="26" t="n">
        <f aca="false">0.622*$B$38/($B$35-$B$38)</f>
        <v>0.00729142558429166</v>
      </c>
      <c r="C39" s="5"/>
      <c r="D39" s="5" t="s">
        <v>98</v>
      </c>
      <c r="E39" s="6" t="s">
        <v>99</v>
      </c>
      <c r="F39" s="5"/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5" t="s">
        <v>100</v>
      </c>
      <c r="B40" s="26" t="n">
        <f aca="false">461.24*(0.622+$B$39)*$B$36/$B$35</f>
        <v>0.837274988020316</v>
      </c>
      <c r="C40" s="5"/>
      <c r="D40" s="5" t="s">
        <v>101</v>
      </c>
      <c r="E40" s="6" t="s">
        <v>102</v>
      </c>
      <c r="F40" s="5"/>
      <c r="G40" s="5"/>
      <c r="H40" s="5"/>
      <c r="I40" s="5"/>
      <c r="J40" s="5"/>
      <c r="K40" s="5"/>
      <c r="L40" s="5"/>
    </row>
    <row r="41" customFormat="false" ht="15" hidden="false" customHeight="false" outlineLevel="0" collapsed="false">
      <c r="A41" s="5" t="s">
        <v>103</v>
      </c>
      <c r="B41" s="27" t="n">
        <f aca="false">(1+$B$39)/$B$40</f>
        <v>1.20305925770692</v>
      </c>
      <c r="C41" s="5"/>
      <c r="D41" s="5" t="s">
        <v>104</v>
      </c>
      <c r="E41" s="6" t="s">
        <v>105</v>
      </c>
      <c r="F41" s="5"/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5" t="s">
        <v>106</v>
      </c>
      <c r="B42" s="28" t="n">
        <f aca="false">(17.1+0.048*$B$9)*0.000001</f>
        <v>1.806E-005</v>
      </c>
      <c r="C42" s="5"/>
      <c r="D42" s="5" t="s">
        <v>61</v>
      </c>
      <c r="E42" s="6" t="s">
        <v>107</v>
      </c>
      <c r="F42" s="5"/>
      <c r="G42" s="5"/>
      <c r="H42" s="5"/>
      <c r="I42" s="5"/>
      <c r="J42" s="5"/>
      <c r="K42" s="5"/>
      <c r="L42" s="5"/>
    </row>
    <row r="43" customFormat="false" ht="15" hidden="false" customHeight="false" outlineLevel="0" collapsed="false">
      <c r="A43" s="5" t="s">
        <v>108</v>
      </c>
      <c r="B43" s="27" t="n">
        <f aca="false">$B$35/($B$18*$B$36)</f>
        <v>1.20764977667356</v>
      </c>
      <c r="C43" s="5"/>
      <c r="D43" s="5" t="s">
        <v>104</v>
      </c>
      <c r="E43" s="6" t="s">
        <v>109</v>
      </c>
      <c r="F43" s="5"/>
      <c r="G43" s="5"/>
      <c r="H43" s="5"/>
      <c r="I43" s="5"/>
      <c r="J43" s="5"/>
      <c r="K43" s="5"/>
      <c r="L43" s="5"/>
    </row>
    <row r="44" customFormat="false" ht="15" hidden="false" customHeight="false" outlineLevel="0" collapsed="false">
      <c r="A44" s="5" t="s">
        <v>110</v>
      </c>
      <c r="B44" s="28" t="n">
        <f aca="false">$B$19*($B$36/$B$20)^1.5*($B$20+$B$21)/($B$36+$B$21)</f>
        <v>1.81754897844545E-005</v>
      </c>
      <c r="C44" s="5"/>
      <c r="D44" s="5" t="s">
        <v>61</v>
      </c>
      <c r="E44" s="6" t="s">
        <v>111</v>
      </c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A45" s="5" t="s">
        <v>112</v>
      </c>
      <c r="B45" s="27" t="n">
        <f aca="false">IF($B$14&gt;0,$B$41,$B$43)</f>
        <v>1.20305925770692</v>
      </c>
      <c r="C45" s="5"/>
      <c r="D45" s="5" t="s">
        <v>104</v>
      </c>
      <c r="E45" s="6" t="s">
        <v>113</v>
      </c>
      <c r="F45" s="5"/>
      <c r="G45" s="5"/>
      <c r="H45" s="5"/>
      <c r="I45" s="5"/>
      <c r="J45" s="5"/>
      <c r="K45" s="5"/>
      <c r="L45" s="5"/>
    </row>
    <row r="46" customFormat="false" ht="15" hidden="false" customHeight="false" outlineLevel="0" collapsed="false">
      <c r="A46" s="5" t="s">
        <v>114</v>
      </c>
      <c r="B46" s="28" t="n">
        <f aca="false">IF($B$14&gt;0,$B$42,$B$44)</f>
        <v>1.806E-005</v>
      </c>
      <c r="C46" s="5"/>
      <c r="D46" s="5" t="s">
        <v>61</v>
      </c>
      <c r="E46" s="6"/>
      <c r="F46" s="5"/>
      <c r="G46" s="5"/>
      <c r="H46" s="5"/>
      <c r="I46" s="5"/>
      <c r="J46" s="5"/>
      <c r="K46" s="5"/>
      <c r="L46" s="5"/>
    </row>
    <row r="47" customFormat="false" ht="15" hidden="false" customHeight="false" outlineLevel="0" collapsed="false">
      <c r="A47" s="5" t="s">
        <v>115</v>
      </c>
      <c r="B47" s="28" t="n">
        <f aca="false">$B$46/$B$45</f>
        <v>1.50117293760102E-005</v>
      </c>
      <c r="C47" s="5"/>
      <c r="D47" s="5" t="s">
        <v>116</v>
      </c>
      <c r="E47" s="6"/>
      <c r="F47" s="5"/>
      <c r="G47" s="5"/>
      <c r="H47" s="5"/>
      <c r="I47" s="5"/>
      <c r="J47" s="5"/>
      <c r="K47" s="5"/>
      <c r="L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15" hidden="false" customHeight="false" outlineLevel="0" collapsed="false">
      <c r="A50" s="7" t="s">
        <v>117</v>
      </c>
      <c r="B50" s="7" t="s">
        <v>23</v>
      </c>
      <c r="C50" s="7"/>
      <c r="D50" s="7" t="s">
        <v>24</v>
      </c>
      <c r="E50" s="7" t="s">
        <v>25</v>
      </c>
      <c r="F50" s="5"/>
      <c r="G50" s="5"/>
      <c r="H50" s="5"/>
      <c r="I50" s="5"/>
      <c r="J50" s="5"/>
      <c r="K50" s="5"/>
      <c r="L50" s="5"/>
    </row>
    <row r="51" customFormat="false" ht="15" hidden="false" customHeight="false" outlineLevel="0" collapsed="false">
      <c r="A51" s="5" t="s">
        <v>118</v>
      </c>
      <c r="B51" s="26" t="n">
        <f aca="false">$B$30*$B$31</f>
        <v>0.00875</v>
      </c>
      <c r="C51" s="5"/>
      <c r="D51" s="5" t="s">
        <v>119</v>
      </c>
      <c r="E51" s="6" t="s">
        <v>120</v>
      </c>
      <c r="F51" s="5"/>
      <c r="G51" s="5"/>
      <c r="H51" s="5"/>
      <c r="I51" s="5"/>
      <c r="J51" s="5"/>
      <c r="K51" s="5"/>
      <c r="L51" s="5"/>
    </row>
    <row r="52" customFormat="false" ht="15" hidden="false" customHeight="false" outlineLevel="0" collapsed="false">
      <c r="A52" s="5" t="s">
        <v>121</v>
      </c>
      <c r="B52" s="26" t="n">
        <f aca="false">4*$B$51/(2*($B$30+$B$31))</f>
        <v>0.0777777777777778</v>
      </c>
      <c r="C52" s="5"/>
      <c r="D52" s="5" t="s">
        <v>85</v>
      </c>
      <c r="E52" s="6" t="s">
        <v>122</v>
      </c>
      <c r="F52" s="5"/>
      <c r="G52" s="5"/>
      <c r="H52" s="5"/>
      <c r="I52" s="5"/>
      <c r="J52" s="5"/>
      <c r="K52" s="5"/>
      <c r="L52" s="5"/>
    </row>
    <row r="53" customFormat="false" ht="15" hidden="false" customHeight="false" outlineLevel="0" collapsed="false">
      <c r="A53" s="5" t="s">
        <v>123</v>
      </c>
      <c r="B53" s="29" t="n">
        <f aca="false">4*$B$51/(PI()*$B$26/1000*$B$52)</f>
        <v>1.8699666942912</v>
      </c>
      <c r="C53" s="5"/>
      <c r="D53" s="5" t="s">
        <v>55</v>
      </c>
      <c r="E53" s="6" t="s">
        <v>124</v>
      </c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false" outlineLevel="0" collapsed="false">
      <c r="A56" s="7" t="s">
        <v>125</v>
      </c>
      <c r="B56" s="7" t="s">
        <v>71</v>
      </c>
      <c r="C56" s="7" t="s">
        <v>72</v>
      </c>
      <c r="D56" s="7" t="s">
        <v>24</v>
      </c>
      <c r="E56" s="7" t="s">
        <v>126</v>
      </c>
      <c r="F56" s="5"/>
      <c r="G56" s="5"/>
      <c r="H56" s="5"/>
      <c r="I56" s="5"/>
      <c r="J56" s="5"/>
      <c r="K56" s="5"/>
      <c r="L56" s="5"/>
    </row>
    <row r="57" customFormat="false" ht="15" hidden="false" customHeight="false" outlineLevel="0" collapsed="false">
      <c r="A57" s="5" t="s">
        <v>127</v>
      </c>
      <c r="B57" s="30" t="n">
        <f aca="false">$B$6-$B$15</f>
        <v>495.98</v>
      </c>
      <c r="C57" s="30" t="n">
        <f aca="false">$B$7-$B$16</f>
        <v>99.99</v>
      </c>
      <c r="D57" s="5" t="s">
        <v>32</v>
      </c>
      <c r="E57" s="6" t="s">
        <v>128</v>
      </c>
      <c r="F57" s="5"/>
      <c r="G57" s="5"/>
      <c r="H57" s="5"/>
      <c r="I57" s="5"/>
      <c r="J57" s="5"/>
      <c r="K57" s="5"/>
      <c r="L57" s="5"/>
    </row>
    <row r="58" customFormat="false" ht="15" hidden="false" customHeight="false" outlineLevel="0" collapsed="false">
      <c r="A58" s="5" t="s">
        <v>129</v>
      </c>
      <c r="B58" s="31" t="n">
        <f aca="false">$B$26/1000*(1+$B$28*($B$9-20))</f>
        <v>0.0766</v>
      </c>
      <c r="C58" s="31" t="n">
        <f aca="false">$C$26/1000*(1+$C$28*($B$9-20))</f>
        <v>0.0766</v>
      </c>
      <c r="D58" s="5" t="s">
        <v>85</v>
      </c>
      <c r="E58" s="6" t="s">
        <v>130</v>
      </c>
      <c r="F58" s="5"/>
      <c r="G58" s="5"/>
      <c r="H58" s="5"/>
      <c r="I58" s="5"/>
      <c r="J58" s="5"/>
      <c r="K58" s="5"/>
      <c r="L58" s="5"/>
    </row>
    <row r="59" customFormat="false" ht="15" hidden="false" customHeight="false" outlineLevel="0" collapsed="false">
      <c r="A59" s="5" t="s">
        <v>131</v>
      </c>
      <c r="B59" s="31" t="n">
        <f aca="false">$B$27/1000*(1+$B$29*($B$9-20))</f>
        <v>0.041018</v>
      </c>
      <c r="C59" s="31" t="n">
        <f aca="false">$C$27/1000*(1+$C$29*($B$9-20))</f>
        <v>0.021113</v>
      </c>
      <c r="D59" s="5" t="s">
        <v>85</v>
      </c>
      <c r="E59" s="6" t="s">
        <v>132</v>
      </c>
      <c r="F59" s="5"/>
      <c r="G59" s="5"/>
      <c r="H59" s="5"/>
      <c r="I59" s="5"/>
      <c r="J59" s="5"/>
      <c r="K59" s="5"/>
      <c r="L59" s="5"/>
    </row>
    <row r="60" customFormat="false" ht="15" hidden="false" customHeight="false" outlineLevel="0" collapsed="false">
      <c r="A60" s="5" t="s">
        <v>133</v>
      </c>
      <c r="B60" s="26" t="n">
        <f aca="false">$B$59/$B$58</f>
        <v>0.535483028720627</v>
      </c>
      <c r="C60" s="26" t="n">
        <f aca="false">$C$59/$C$58</f>
        <v>0.275626631853786</v>
      </c>
      <c r="D60" s="5" t="s">
        <v>55</v>
      </c>
      <c r="E60" s="6"/>
      <c r="F60" s="5"/>
      <c r="G60" s="5"/>
      <c r="H60" s="5"/>
      <c r="I60" s="5"/>
      <c r="J60" s="5"/>
      <c r="K60" s="5"/>
      <c r="L60" s="5"/>
    </row>
    <row r="61" customFormat="false" ht="15" hidden="false" customHeight="false" outlineLevel="0" collapsed="false">
      <c r="A61" s="5" t="s">
        <v>134</v>
      </c>
      <c r="B61" s="26" t="n">
        <f aca="false">1/SQRT(1-$B$60^4)</f>
        <v>1.04383281559708</v>
      </c>
      <c r="C61" s="26" t="n">
        <f aca="false">1/SQRT(1-$C$60^4)</f>
        <v>1.00289827498462</v>
      </c>
      <c r="D61" s="5" t="s">
        <v>55</v>
      </c>
      <c r="E61" s="6" t="s">
        <v>135</v>
      </c>
      <c r="F61" s="5"/>
      <c r="G61" s="5"/>
      <c r="H61" s="5"/>
      <c r="I61" s="5"/>
      <c r="J61" s="5"/>
      <c r="K61" s="5"/>
      <c r="L61" s="5"/>
    </row>
    <row r="62" customFormat="false" ht="15" hidden="false" customHeight="false" outlineLevel="0" collapsed="false">
      <c r="A62" s="5" t="s">
        <v>136</v>
      </c>
      <c r="B62" s="26" t="n">
        <f aca="false">1-(0.41+0.35*$B$60^4)*$B$57/($B$17*$B$35)</f>
        <v>0.998473370229692</v>
      </c>
      <c r="C62" s="26" t="n">
        <f aca="false">1-(0.41+0.35*$C$60^4)/$B$17*($C$57/$B$35)</f>
        <v>0.999710998412031</v>
      </c>
      <c r="D62" s="5" t="s">
        <v>55</v>
      </c>
      <c r="E62" s="6" t="s">
        <v>137</v>
      </c>
      <c r="F62" s="5"/>
      <c r="G62" s="5"/>
      <c r="H62" s="5"/>
      <c r="I62" s="5"/>
      <c r="J62" s="5"/>
      <c r="K62" s="5"/>
      <c r="L62" s="5"/>
    </row>
    <row r="63" customFormat="false" ht="15" hidden="false" customHeight="false" outlineLevel="0" collapsed="false">
      <c r="A63" s="5" t="s">
        <v>138</v>
      </c>
      <c r="B63" s="26" t="n">
        <f aca="false">K76</f>
        <v>0.613570444952569</v>
      </c>
      <c r="C63" s="26" t="n">
        <f aca="false">0.7746-0.1334*$C$60^2.1+1.4098*$C$60^8+0.0675*$C$60^4/(1-$C$60^4)+0.3865*$C$60^3</f>
        <v>0.774222831489377</v>
      </c>
      <c r="D63" s="5" t="s">
        <v>55</v>
      </c>
      <c r="E63" s="6" t="s">
        <v>139</v>
      </c>
      <c r="F63" s="5"/>
      <c r="G63" s="5"/>
      <c r="H63" s="5"/>
      <c r="I63" s="5"/>
      <c r="J63" s="5"/>
      <c r="K63" s="5"/>
      <c r="L63" s="5"/>
    </row>
    <row r="64" customFormat="false" ht="15" hidden="false" customHeight="false" outlineLevel="0" collapsed="false">
      <c r="A64" s="5" t="s">
        <v>140</v>
      </c>
      <c r="B64" s="26" t="n">
        <f aca="false">IF($B$57&lt;$B$22,0,L73)</f>
        <v>0.029191828364057</v>
      </c>
      <c r="C64" s="26" t="n">
        <f aca="false">IF($C$57&lt;$B$22,0,PI()*SQRT(2)/4*$C$63*$C$59^2*$C$62*SQRT($C$57)*SQRT($B$45)/SQRT(1-$C$60^4))</f>
        <v>0.00421525543669007</v>
      </c>
      <c r="D64" s="5" t="s">
        <v>141</v>
      </c>
      <c r="E64" s="6" t="s">
        <v>142</v>
      </c>
      <c r="F64" s="5"/>
      <c r="G64" s="5"/>
      <c r="H64" s="5"/>
      <c r="I64" s="5"/>
      <c r="J64" s="5"/>
      <c r="K64" s="5"/>
      <c r="L64" s="5"/>
    </row>
    <row r="65" customFormat="false" ht="15" hidden="false" customHeight="false" outlineLevel="0" collapsed="false">
      <c r="A65" s="5" t="s">
        <v>39</v>
      </c>
      <c r="B65" s="32" t="n">
        <f aca="false">4*$B$64/(PI()*$B$26/1000*$B$46)</f>
        <v>26867.3541460572</v>
      </c>
      <c r="C65" s="32" t="n">
        <f aca="false">4*$C$64/(PI()*$B$26/1000*$B$46)</f>
        <v>3879.60490933449</v>
      </c>
      <c r="D65" s="5" t="s">
        <v>55</v>
      </c>
      <c r="E65" s="6" t="s">
        <v>143</v>
      </c>
      <c r="F65" s="5"/>
      <c r="G65" s="5"/>
      <c r="H65" s="5"/>
      <c r="I65" s="5"/>
      <c r="J65" s="5"/>
      <c r="K65" s="5"/>
      <c r="L65" s="5"/>
    </row>
    <row r="66" customFormat="false" ht="15" hidden="false" customHeight="false" outlineLevel="0" collapsed="false">
      <c r="A66" s="5" t="s">
        <v>42</v>
      </c>
      <c r="B66" s="32" t="n">
        <f aca="false">$B$64*$B$52/($B$46*$B$51)</f>
        <v>14367.8249607762</v>
      </c>
      <c r="C66" s="32" t="n">
        <f aca="false">$C$64*$B$52/($B$46*$B$51)</f>
        <v>2074.69198311312</v>
      </c>
      <c r="D66" s="5" t="s">
        <v>55</v>
      </c>
      <c r="E66" s="6" t="s">
        <v>144</v>
      </c>
      <c r="F66" s="5"/>
      <c r="G66" s="5"/>
      <c r="H66" s="5"/>
      <c r="I66" s="5"/>
      <c r="J66" s="5"/>
      <c r="K66" s="5"/>
      <c r="L66" s="5"/>
    </row>
    <row r="67" customFormat="false" ht="15" hidden="false" customHeight="false" outlineLevel="0" collapsed="false">
      <c r="A67" s="5" t="s">
        <v>145</v>
      </c>
      <c r="B67" s="25" t="n">
        <f aca="false">$B$64/$B$45*3600</f>
        <v>87.3527895133878</v>
      </c>
      <c r="C67" s="25" t="n">
        <f aca="false">$C$64/$B$45*3600</f>
        <v>12.6136094085742</v>
      </c>
      <c r="D67" s="5" t="s">
        <v>146</v>
      </c>
      <c r="E67" s="6" t="s">
        <v>147</v>
      </c>
      <c r="F67" s="5"/>
      <c r="G67" s="5"/>
      <c r="H67" s="5"/>
      <c r="I67" s="5"/>
      <c r="J67" s="5"/>
      <c r="K67" s="5"/>
      <c r="L67" s="5"/>
    </row>
    <row r="68" customFormat="false" ht="15" hidden="false" customHeight="false" outlineLevel="0" collapsed="false">
      <c r="A68" s="5" t="s">
        <v>148</v>
      </c>
      <c r="B68" s="30" t="n">
        <f aca="false">$B$64/($B$45*$B$51)</f>
        <v>2.77310442899644</v>
      </c>
      <c r="C68" s="30" t="n">
        <f aca="false">$C$64/($B$45*$B$51)</f>
        <v>0.40043204471664</v>
      </c>
      <c r="D68" s="5" t="s">
        <v>149</v>
      </c>
      <c r="E68" s="6" t="s">
        <v>150</v>
      </c>
      <c r="F68" s="5"/>
      <c r="G68" s="5"/>
      <c r="H68" s="5"/>
      <c r="I68" s="5"/>
      <c r="J68" s="5"/>
      <c r="K68" s="5"/>
      <c r="L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false" outlineLevel="0" collapsed="false">
      <c r="A71" s="7" t="s">
        <v>151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customFormat="false" ht="15" hidden="false" customHeight="false" outlineLevel="0" collapsed="false">
      <c r="A72" s="33" t="s">
        <v>152</v>
      </c>
      <c r="B72" s="34" t="n">
        <v>0</v>
      </c>
      <c r="C72" s="34" t="n">
        <v>1</v>
      </c>
      <c r="D72" s="34" t="n">
        <v>2</v>
      </c>
      <c r="E72" s="34" t="n">
        <v>3</v>
      </c>
      <c r="F72" s="34" t="n">
        <v>4</v>
      </c>
      <c r="G72" s="34" t="n">
        <v>5</v>
      </c>
      <c r="H72" s="34" t="n">
        <v>6</v>
      </c>
      <c r="I72" s="34" t="n">
        <v>7</v>
      </c>
      <c r="J72" s="34" t="n">
        <v>8</v>
      </c>
      <c r="K72" s="34" t="n">
        <v>9</v>
      </c>
      <c r="L72" s="34" t="n">
        <v>10</v>
      </c>
    </row>
    <row r="73" customFormat="false" ht="15" hidden="false" customHeight="false" outlineLevel="0" collapsed="false">
      <c r="A73" s="5" t="s">
        <v>153</v>
      </c>
      <c r="B73" s="35" t="n">
        <v>0.1</v>
      </c>
      <c r="C73" s="31" t="n">
        <f aca="false">B76*$B$61*$B$62*PI()*$B$59^2/4*SQRT(2*MAX($B$57,0)*$B$45)</f>
        <v>0.0289496684363326</v>
      </c>
      <c r="D73" s="31" t="n">
        <f aca="false">C76*$B$61*$B$62*PI()*$B$59^2/4*SQRT(2*MAX($B$57,0)*$B$45)</f>
        <v>0.0291941718893998</v>
      </c>
      <c r="E73" s="31" t="n">
        <f aca="false">D76*$B$61*$B$62*PI()*$B$59^2/4*SQRT(2*MAX($B$57,0)*$B$45)</f>
        <v>0.0291918058406674</v>
      </c>
      <c r="F73" s="31" t="n">
        <f aca="false">E76*$B$61*$B$62*PI()*$B$59^2/4*SQRT(2*MAX($B$57,0)*$B$45)</f>
        <v>0.0291918285805415</v>
      </c>
      <c r="G73" s="31" t="n">
        <f aca="false">F76*$B$61*$B$62*PI()*$B$59^2/4*SQRT(2*MAX($B$57,0)*$B$45)</f>
        <v>0.0291918283619763</v>
      </c>
      <c r="H73" s="31" t="n">
        <f aca="false">G76*$B$61*$B$62*PI()*$B$59^2/4*SQRT(2*MAX($B$57,0)*$B$45)</f>
        <v>0.029191828364077</v>
      </c>
      <c r="I73" s="31" t="n">
        <f aca="false">H76*$B$61*$B$62*PI()*$B$59^2/4*SQRT(2*MAX($B$57,0)*$B$45)</f>
        <v>0.0291918283640568</v>
      </c>
      <c r="J73" s="31" t="n">
        <f aca="false">I76*$B$61*$B$62*PI()*$B$59^2/4*SQRT(2*MAX($B$57,0)*$B$45)</f>
        <v>0.029191828364057</v>
      </c>
      <c r="K73" s="31" t="n">
        <f aca="false">J76*$B$61*$B$62*PI()*$B$59^2/4*SQRT(2*MAX($B$57,0)*$B$45)</f>
        <v>0.029191828364057</v>
      </c>
      <c r="L73" s="31" t="n">
        <f aca="false">K76*$B$61*$B$62*PI()*$B$59^2/4*SQRT(2*MAX($B$57,0)*$B$45)</f>
        <v>0.029191828364057</v>
      </c>
    </row>
    <row r="74" customFormat="false" ht="15" hidden="false" customHeight="false" outlineLevel="0" collapsed="false">
      <c r="A74" s="5" t="s">
        <v>154</v>
      </c>
      <c r="B74" s="32" t="n">
        <f aca="false">MAX(4*B73/(PI()*$B$58*$B$46),100)</f>
        <v>92037.2434744038</v>
      </c>
      <c r="C74" s="32" t="n">
        <f aca="false">MAX(4*C73/(PI()*$B$58*$B$46),100)</f>
        <v>26644.47682378</v>
      </c>
      <c r="D74" s="32" t="n">
        <f aca="false">MAX(4*D73/(PI()*$B$58*$B$46),100)</f>
        <v>26869.5110621828</v>
      </c>
      <c r="E74" s="32" t="n">
        <f aca="false">MAX(4*E73/(PI()*$B$58*$B$46),100)</f>
        <v>26867.3334161502</v>
      </c>
      <c r="F74" s="32" t="n">
        <f aca="false">MAX(4*F73/(PI()*$B$58*$B$46),100)</f>
        <v>26867.3543453036</v>
      </c>
      <c r="G74" s="32" t="n">
        <f aca="false">MAX(4*G73/(PI()*$B$58*$B$46),100)</f>
        <v>26867.3541441421</v>
      </c>
      <c r="H74" s="32" t="n">
        <f aca="false">MAX(4*H73/(PI()*$B$58*$B$46),100)</f>
        <v>26867.3541460756</v>
      </c>
      <c r="I74" s="32" t="n">
        <f aca="false">MAX(4*I73/(PI()*$B$58*$B$46),100)</f>
        <v>26867.354146057</v>
      </c>
      <c r="J74" s="32" t="n">
        <f aca="false">MAX(4*J73/(PI()*$B$58*$B$46),100)</f>
        <v>26867.3541460572</v>
      </c>
      <c r="K74" s="32" t="n">
        <f aca="false">MAX(4*K73/(PI()*$B$58*$B$46),100)</f>
        <v>26867.3541460572</v>
      </c>
      <c r="L74" s="32" t="n">
        <f aca="false">MAX(4*L73/(PI()*$B$58*$B$46),100)</f>
        <v>26867.3541460572</v>
      </c>
    </row>
    <row r="75" customFormat="false" ht="15" hidden="false" customHeight="false" outlineLevel="0" collapsed="false">
      <c r="A75" s="5" t="s">
        <v>155</v>
      </c>
      <c r="B75" s="26" t="n">
        <f aca="false">(19000*$B$60/B74)^0.8</f>
        <v>0.171723039635523</v>
      </c>
      <c r="C75" s="26" t="n">
        <f aca="false">(19000*$B$60/C74)^0.8</f>
        <v>0.462928258262794</v>
      </c>
      <c r="D75" s="26" t="n">
        <f aca="false">(19000*$B$60/D74)^0.8</f>
        <v>0.459824003822083</v>
      </c>
      <c r="E75" s="26" t="n">
        <f aca="false">(19000*$B$60/E74)^0.8</f>
        <v>0.459853819235064</v>
      </c>
      <c r="F75" s="26" t="n">
        <f aca="false">(19000*$B$60/F74)^0.8</f>
        <v>0.459853532661203</v>
      </c>
      <c r="G75" s="26" t="n">
        <f aca="false">(19000*$B$60/G74)^0.8</f>
        <v>0.459853535415617</v>
      </c>
      <c r="H75" s="26" t="n">
        <f aca="false">(19000*$B$60/H74)^0.8</f>
        <v>0.459853535389143</v>
      </c>
      <c r="I75" s="26" t="n">
        <f aca="false">(19000*$B$60/I74)^0.8</f>
        <v>0.459853535389398</v>
      </c>
      <c r="J75" s="26" t="n">
        <f aca="false">(19000*$B$60/J74)^0.8</f>
        <v>0.459853535389395</v>
      </c>
      <c r="K75" s="26" t="n">
        <f aca="false">(19000*$B$60/K74)^0.8</f>
        <v>0.459853535389395</v>
      </c>
      <c r="L75" s="26" t="n">
        <f aca="false">(19000*$B$60/L74)^0.8</f>
        <v>0.459853535389395</v>
      </c>
    </row>
    <row r="76" customFormat="false" ht="15" hidden="false" customHeight="false" outlineLevel="0" collapsed="false">
      <c r="A76" s="5" t="s">
        <v>156</v>
      </c>
      <c r="B76" s="31" t="n">
        <f aca="false">0.5961+0.0261*$B$60^2-0.216*$B$60^8+0.000521*(1000000*$B$60/B74)^0.7+(0.0188+0.0063*B75)*$B$60^3.5*(1000000/B74)^0.3</f>
        <v>0.60848058991675</v>
      </c>
      <c r="C76" s="31" t="n">
        <f aca="false">0.5961+0.0261*$B$60^2-0.216*$B$60^8+0.000521*(1000000*$B$60/C74)^0.7+(0.0188+0.0063*C75)*$B$60^3.5*(1000000/C74)^0.3</f>
        <v>0.613619702500584</v>
      </c>
      <c r="D76" s="31" t="n">
        <f aca="false">0.5961+0.0261*$B$60^2-0.216*$B$60^8+0.000521*(1000000*$B$60/D74)^0.7+(0.0188+0.0063*D75)*$B$60^3.5*(1000000/D74)^0.3</f>
        <v>0.61356997154316</v>
      </c>
      <c r="E76" s="31" t="n">
        <f aca="false">0.5961+0.0261*$B$60^2-0.216*$B$60^8+0.000521*(1000000*$B$60/E74)^0.7+(0.0188+0.0063*E75)*$B$60^3.5*(1000000/E74)^0.3</f>
        <v>0.613570449502763</v>
      </c>
      <c r="F76" s="31" t="n">
        <f aca="false">0.5961+0.0261*$B$60^2-0.216*$B$60^8+0.000521*(1000000*$B$60/F74)^0.7+(0.0188+0.0063*F75)*$B$60^3.5*(1000000/F74)^0.3</f>
        <v>0.613570444908834</v>
      </c>
      <c r="G76" s="31" t="n">
        <f aca="false">0.5961+0.0261*$B$60^2-0.216*$B$60^8+0.000521*(1000000*$B$60/G74)^0.7+(0.0188+0.0063*G75)*$B$60^3.5*(1000000/G74)^0.3</f>
        <v>0.613570444952989</v>
      </c>
      <c r="H76" s="31" t="n">
        <f aca="false">0.5961+0.0261*$B$60^2-0.216*$B$60^8+0.000521*(1000000*$B$60/H74)^0.7+(0.0188+0.0063*H75)*$B$60^3.5*(1000000/H74)^0.3</f>
        <v>0.613570444952565</v>
      </c>
      <c r="I76" s="31" t="n">
        <f aca="false">0.5961+0.0261*$B$60^2-0.216*$B$60^8+0.000521*(1000000*$B$60/I74)^0.7+(0.0188+0.0063*I75)*$B$60^3.5*(1000000/I74)^0.3</f>
        <v>0.613570444952569</v>
      </c>
      <c r="J76" s="31" t="n">
        <f aca="false">0.5961+0.0261*$B$60^2-0.216*$B$60^8+0.000521*(1000000*$B$60/J74)^0.7+(0.0188+0.0063*J75)*$B$60^3.5*(1000000/J74)^0.3</f>
        <v>0.613570444952569</v>
      </c>
      <c r="K76" s="31" t="n">
        <f aca="false">0.5961+0.0261*$B$60^2-0.216*$B$60^8+0.000521*(1000000*$B$60/K74)^0.7+(0.0188+0.0063*K75)*$B$60^3.5*(1000000/K74)^0.3</f>
        <v>0.613570444952569</v>
      </c>
      <c r="L76" s="31" t="n">
        <f aca="false">0.5961+0.0261*$B$60^2-0.216*$B$60^8+0.000521*(1000000*$B$60/L74)^0.7+(0.0188+0.0063*L75)*$B$60^3.5*(1000000/L74)^0.3</f>
        <v>0.613570444952569</v>
      </c>
    </row>
    <row r="77" customFormat="false" ht="15" hidden="false" customHeight="false" outlineLevel="0" collapsed="false">
      <c r="A77" s="6" t="s">
        <v>157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36" t="n">
        <f aca="false">IF(L73=0,0,ABS(L73-K73)/L73)</f>
        <v>0</v>
      </c>
    </row>
  </sheetData>
  <dataValidations count="1">
    <dataValidation allowBlank="false" errorStyle="stop" operator="between" showDropDown="false" showErrorMessage="false" showInputMessage="false" sqref="B5" type="list">
      <formula1>"ISO,Miller"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7" min="1" style="0" width="16"/>
    <col collapsed="false" customWidth="true" hidden="true" outlineLevel="1" max="18" min="9" style="0" width="12"/>
  </cols>
  <sheetData>
    <row r="1" customFormat="false" ht="17.35" hidden="false" customHeight="false" outlineLevel="0" collapsed="false">
      <c r="A1" s="4" t="s">
        <v>158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15" hidden="false" customHeight="false" outlineLevel="0" collapsed="false">
      <c r="A2" s="6" t="s">
        <v>159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15" hidden="false" customHeight="false" outlineLevel="0" collapsed="false">
      <c r="A3" s="5" t="s">
        <v>160</v>
      </c>
      <c r="B3" s="37" t="n">
        <f aca="false">'Calcul Re'!$B$35</f>
        <v>101625</v>
      </c>
      <c r="C3" s="5" t="s">
        <v>161</v>
      </c>
      <c r="D3" s="38" t="n">
        <f aca="false">'Calcul Re'!$B$9</f>
        <v>20</v>
      </c>
      <c r="E3" s="5" t="s">
        <v>162</v>
      </c>
      <c r="F3" s="37" t="n">
        <f aca="false">'Calcul Re'!$B$14</f>
        <v>50</v>
      </c>
      <c r="G3" s="5" t="s">
        <v>163</v>
      </c>
      <c r="H3" s="39" t="n">
        <f aca="false">'Calcul Re'!$B$45</f>
        <v>1.20305925770692</v>
      </c>
      <c r="I3" s="5" t="s">
        <v>164</v>
      </c>
      <c r="J3" s="40" t="n">
        <f aca="false">'Calcul Re'!$B$46</f>
        <v>1.806E-005</v>
      </c>
      <c r="K3" s="5"/>
      <c r="L3" s="5"/>
      <c r="M3" s="5"/>
      <c r="N3" s="5"/>
      <c r="O3" s="5"/>
      <c r="P3" s="5"/>
      <c r="Q3" s="5"/>
      <c r="R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6" t="s">
        <v>165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26.85" hidden="false" customHeight="false" outlineLevel="0" collapsed="false">
      <c r="A5" s="41" t="s">
        <v>166</v>
      </c>
      <c r="B5" s="41" t="s">
        <v>167</v>
      </c>
      <c r="C5" s="41" t="s">
        <v>168</v>
      </c>
      <c r="D5" s="41" t="s">
        <v>169</v>
      </c>
      <c r="E5" s="41" t="s">
        <v>170</v>
      </c>
      <c r="F5" s="41" t="s">
        <v>171</v>
      </c>
      <c r="G5" s="41" t="s">
        <v>172</v>
      </c>
      <c r="H5" s="5"/>
      <c r="I5" s="34" t="s">
        <v>173</v>
      </c>
      <c r="J5" s="34" t="s">
        <v>174</v>
      </c>
      <c r="K5" s="34" t="s">
        <v>175</v>
      </c>
      <c r="L5" s="34" t="s">
        <v>176</v>
      </c>
      <c r="M5" s="34" t="s">
        <v>177</v>
      </c>
      <c r="N5" s="34" t="s">
        <v>178</v>
      </c>
      <c r="O5" s="34" t="s">
        <v>179</v>
      </c>
      <c r="P5" s="34" t="s">
        <v>180</v>
      </c>
      <c r="Q5" s="34" t="s">
        <v>181</v>
      </c>
      <c r="R5" s="34" t="s">
        <v>182</v>
      </c>
    </row>
    <row r="6" customFormat="false" ht="15" hidden="false" customHeight="false" outlineLevel="0" collapsed="false">
      <c r="A6" s="42" t="n">
        <v>0.5</v>
      </c>
      <c r="B6" s="26" t="n">
        <f aca="false">IF($A6&lt;'Calcul Re'!$B$22,0,PI()*SQRT(2)/4*'Calcul Re'!$C$63*'Calcul Re'!$C$59^2*(1-(0.41+0.35*'Calcul Re'!$C$60^4)/'Calcul Re'!$B$17*($A6/'Calcul Re'!$B$35))*SQRT($A6)*SQRT('Calcul Re'!$B$45)/SQRT(1-'Calcul Re'!$C$60^4))</f>
        <v>0.000298164213830485</v>
      </c>
      <c r="C6" s="32" t="n">
        <f aca="false">4*B6/(PI()*'Calcul Re'!$B$26/1000*'Calcul Re'!$B$46)</f>
        <v>274.422123436705</v>
      </c>
      <c r="D6" s="32" t="n">
        <f aca="false">B6*'Calcul Re'!$B$52/('Calcul Re'!$B$46*'Calcul Re'!$B$51)</f>
        <v>146.752412368886</v>
      </c>
      <c r="E6" s="26" t="n">
        <f aca="false">IF($A6&lt;'Calcul Re'!$B$22,0,R6)</f>
        <v>0.00105788677329791</v>
      </c>
      <c r="F6" s="32" t="n">
        <f aca="false">4*E6/(PI()*'Calcul Re'!$B$26/1000*'Calcul Re'!$B$46)</f>
        <v>973.649825223708</v>
      </c>
      <c r="G6" s="32" t="n">
        <f aca="false">E6*'Calcul Re'!$B$52/('Calcul Re'!$B$46*'Calcul Re'!$B$51)</f>
        <v>520.677629284069</v>
      </c>
      <c r="H6" s="5"/>
      <c r="I6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Re'!$B$60^4)*$A6/('Calcul Re'!$B$17*'Calcul Re'!$B$35))*PI()*'Calcul Re'!$B$59^2/4*SQRT(2*MAX($A6,0)*'Calcul Re'!$B$45)</f>
        <v>0.000920575387059449</v>
      </c>
      <c r="J6" s="43" t="n">
        <f aca="false">(0.5961+0.0261*'Calcul Re'!$B$60^2-0.216*'Calcul Re'!$B$60^8+0.000521*(1000000*'Calcul Re'!$B$60/MAX(4*I6/(PI()*'Calcul Re'!$B$58*'Calcul Re'!$B$46),100))^0.7+(0.0188+0.0063*(19000*'Calcul Re'!$B$60/MAX(4*I6/(PI()*'Calcul Re'!$B$58*'Calcul Re'!$B$46),100))^0.8)*'Calcul Re'!$B$60^3.5*(1000000/MAX(4*I6/(PI()*'Calcul Re'!$B$58*'Calcul Re'!$B$46),100))^0.3)*'Calcul Re'!$B$61*(1-(0.41+0.35*'Calcul Re'!$B$60^4)*$A6/('Calcul Re'!$B$17*'Calcul Re'!$B$35))*PI()*'Calcul Re'!$B$59^2/4*SQRT(2*MAX($A6,0)*'Calcul Re'!$B$45)</f>
        <v>0.00107491173652853</v>
      </c>
      <c r="K6" s="43" t="n">
        <f aca="false">(0.5961+0.0261*'Calcul Re'!$B$60^2-0.216*'Calcul Re'!$B$60^8+0.000521*(1000000*'Calcul Re'!$B$60/MAX(4*J6/(PI()*'Calcul Re'!$B$58*'Calcul Re'!$B$46),100))^0.7+(0.0188+0.0063*(19000*'Calcul Re'!$B$60/MAX(4*J6/(PI()*'Calcul Re'!$B$58*'Calcul Re'!$B$46),100))^0.8)*'Calcul Re'!$B$60^3.5*(1000000/MAX(4*J6/(PI()*'Calcul Re'!$B$58*'Calcul Re'!$B$46),100))^0.3)*'Calcul Re'!$B$61*(1-(0.41+0.35*'Calcul Re'!$B$60^4)*$A6/('Calcul Re'!$B$17*'Calcul Re'!$B$35))*PI()*'Calcul Re'!$B$59^2/4*SQRT(2*MAX($A6,0)*'Calcul Re'!$B$45)</f>
        <v>0.00105606321502413</v>
      </c>
      <c r="L6" s="43" t="n">
        <f aca="false">(0.5961+0.0261*'Calcul Re'!$B$60^2-0.216*'Calcul Re'!$B$60^8+0.000521*(1000000*'Calcul Re'!$B$60/MAX(4*K6/(PI()*'Calcul Re'!$B$58*'Calcul Re'!$B$46),100))^0.7+(0.0188+0.0063*(19000*'Calcul Re'!$B$60/MAX(4*K6/(PI()*'Calcul Re'!$B$58*'Calcul Re'!$B$46),100))^0.8)*'Calcul Re'!$B$60^3.5*(1000000/MAX(4*K6/(PI()*'Calcul Re'!$B$58*'Calcul Re'!$B$46),100))^0.3)*'Calcul Re'!$B$61*(1-(0.41+0.35*'Calcul Re'!$B$60^4)*$A6/('Calcul Re'!$B$17*'Calcul Re'!$B$35))*PI()*'Calcul Re'!$B$59^2/4*SQRT(2*MAX($A6,0)*'Calcul Re'!$B$45)</f>
        <v>0.00105808538437452</v>
      </c>
      <c r="M6" s="43" t="n">
        <f aca="false">(0.5961+0.0261*'Calcul Re'!$B$60^2-0.216*'Calcul Re'!$B$60^8+0.000521*(1000000*'Calcul Re'!$B$60/MAX(4*L6/(PI()*'Calcul Re'!$B$58*'Calcul Re'!$B$46),100))^0.7+(0.0188+0.0063*(19000*'Calcul Re'!$B$60/MAX(4*L6/(PI()*'Calcul Re'!$B$58*'Calcul Re'!$B$46),100))^0.8)*'Calcul Re'!$B$60^3.5*(1000000/MAX(4*L6/(PI()*'Calcul Re'!$B$58*'Calcul Re'!$B$46),100))^0.3)*'Calcul Re'!$B$61*(1-(0.41+0.35*'Calcul Re'!$B$60^4)*$A6/('Calcul Re'!$B$17*'Calcul Re'!$B$35))*PI()*'Calcul Re'!$B$59^2/4*SQRT(2*MAX($A6,0)*'Calcul Re'!$B$45)</f>
        <v>0.00105786518038364</v>
      </c>
      <c r="N6" s="43" t="n">
        <f aca="false">(0.5961+0.0261*'Calcul Re'!$B$60^2-0.216*'Calcul Re'!$B$60^8+0.000521*(1000000*'Calcul Re'!$B$60/MAX(4*M6/(PI()*'Calcul Re'!$B$58*'Calcul Re'!$B$46),100))^0.7+(0.0188+0.0063*(19000*'Calcul Re'!$B$60/MAX(4*M6/(PI()*'Calcul Re'!$B$58*'Calcul Re'!$B$46),100))^0.8)*'Calcul Re'!$B$60^3.5*(1000000/MAX(4*M6/(PI()*'Calcul Re'!$B$58*'Calcul Re'!$B$46),100))^0.3)*'Calcul Re'!$B$61*(1-(0.41+0.35*'Calcul Re'!$B$60^4)*$A6/('Calcul Re'!$B$17*'Calcul Re'!$B$35))*PI()*'Calcul Re'!$B$59^2/4*SQRT(2*MAX($A6,0)*'Calcul Re'!$B$45)</f>
        <v>0.00105788912092834</v>
      </c>
      <c r="O6" s="43" t="n">
        <f aca="false">(0.5961+0.0261*'Calcul Re'!$B$60^2-0.216*'Calcul Re'!$B$60^8+0.000521*(1000000*'Calcul Re'!$B$60/MAX(4*N6/(PI()*'Calcul Re'!$B$58*'Calcul Re'!$B$46),100))^0.7+(0.0188+0.0063*(19000*'Calcul Re'!$B$60/MAX(4*N6/(PI()*'Calcul Re'!$B$58*'Calcul Re'!$B$46),100))^0.8)*'Calcul Re'!$B$60^3.5*(1000000/MAX(4*N6/(PI()*'Calcul Re'!$B$58*'Calcul Re'!$B$46),100))^0.3)*'Calcul Re'!$B$61*(1-(0.41+0.35*'Calcul Re'!$B$60^4)*$A6/('Calcul Re'!$B$17*'Calcul Re'!$B$35))*PI()*'Calcul Re'!$B$59^2/4*SQRT(2*MAX($A6,0)*'Calcul Re'!$B$45)</f>
        <v>0.00105788651766017</v>
      </c>
      <c r="P6" s="43" t="n">
        <f aca="false">(0.5961+0.0261*'Calcul Re'!$B$60^2-0.216*'Calcul Re'!$B$60^8+0.000521*(1000000*'Calcul Re'!$B$60/MAX(4*O6/(PI()*'Calcul Re'!$B$58*'Calcul Re'!$B$46),100))^0.7+(0.0188+0.0063*(19000*'Calcul Re'!$B$60/MAX(4*O6/(PI()*'Calcul Re'!$B$58*'Calcul Re'!$B$46),100))^0.8)*'Calcul Re'!$B$60^3.5*(1000000/MAX(4*O6/(PI()*'Calcul Re'!$B$58*'Calcul Re'!$B$46),100))^0.3)*'Calcul Re'!$B$61*(1-(0.41+0.35*'Calcul Re'!$B$60^4)*$A6/('Calcul Re'!$B$17*'Calcul Re'!$B$35))*PI()*'Calcul Re'!$B$59^2/4*SQRT(2*MAX($A6,0)*'Calcul Re'!$B$45)</f>
        <v>0.00105788680073126</v>
      </c>
      <c r="Q6" s="43" t="n">
        <f aca="false">(0.5961+0.0261*'Calcul Re'!$B$60^2-0.216*'Calcul Re'!$B$60^8+0.000521*(1000000*'Calcul Re'!$B$60/MAX(4*P6/(PI()*'Calcul Re'!$B$58*'Calcul Re'!$B$46),100))^0.7+(0.0188+0.0063*(19000*'Calcul Re'!$B$60/MAX(4*P6/(PI()*'Calcul Re'!$B$58*'Calcul Re'!$B$46),100))^0.8)*'Calcul Re'!$B$60^3.5*(1000000/MAX(4*P6/(PI()*'Calcul Re'!$B$58*'Calcul Re'!$B$46),100))^0.3)*'Calcul Re'!$B$61*(1-(0.41+0.35*'Calcul Re'!$B$60^4)*$A6/('Calcul Re'!$B$17*'Calcul Re'!$B$35))*PI()*'Calcul Re'!$B$59^2/4*SQRT(2*MAX($A6,0)*'Calcul Re'!$B$45)</f>
        <v>0.00105788676995095</v>
      </c>
      <c r="R6" s="43" t="n">
        <f aca="false">(0.5961+0.0261*'Calcul Re'!$B$60^2-0.216*'Calcul Re'!$B$60^8+0.000521*(1000000*'Calcul Re'!$B$60/MAX(4*Q6/(PI()*'Calcul Re'!$B$58*'Calcul Re'!$B$46),100))^0.7+(0.0188+0.0063*(19000*'Calcul Re'!$B$60/MAX(4*Q6/(PI()*'Calcul Re'!$B$58*'Calcul Re'!$B$46),100))^0.8)*'Calcul Re'!$B$60^3.5*(1000000/MAX(4*Q6/(PI()*'Calcul Re'!$B$58*'Calcul Re'!$B$46),100))^0.3)*'Calcul Re'!$B$61*(1-(0.41+0.35*'Calcul Re'!$B$60^4)*$A6/('Calcul Re'!$B$17*'Calcul Re'!$B$35))*PI()*'Calcul Re'!$B$59^2/4*SQRT(2*MAX($A6,0)*'Calcul Re'!$B$45)</f>
        <v>0.00105788677329791</v>
      </c>
    </row>
    <row r="7" customFormat="false" ht="15" hidden="false" customHeight="false" outlineLevel="0" collapsed="false">
      <c r="A7" s="42" t="n">
        <v>1</v>
      </c>
      <c r="B7" s="26" t="n">
        <f aca="false">IF($A7&lt;'Calcul Re'!$B$22,0,PI()*SQRT(2)/4*'Calcul Re'!$C$63*'Calcul Re'!$C$59^2*(1-(0.41+0.35*'Calcul Re'!$C$60^4)/'Calcul Re'!$B$17*($A7/'Calcul Re'!$B$35))*SQRT($A7)*SQRT('Calcul Re'!$B$45)/SQRT(1-'Calcul Re'!$C$60^4))</f>
        <v>0.000421667265638137</v>
      </c>
      <c r="C7" s="32" t="n">
        <f aca="false">4*B7/(PI()*'Calcul Re'!$B$26/1000*'Calcul Re'!$B$46)</f>
        <v>388.090927927233</v>
      </c>
      <c r="D7" s="32" t="n">
        <f aca="false">B7*'Calcul Re'!$B$52/('Calcul Re'!$B$46*'Calcul Re'!$B$51)</f>
        <v>207.538951956755</v>
      </c>
      <c r="E7" s="26" t="n">
        <f aca="false">IF($A7&lt;'Calcul Re'!$B$22,0,R7)</f>
        <v>0.00145119252695168</v>
      </c>
      <c r="F7" s="32" t="n">
        <f aca="false">4*E7/(PI()*'Calcul Re'!$B$26/1000*'Calcul Re'!$B$46)</f>
        <v>1335.63759931287</v>
      </c>
      <c r="G7" s="32" t="n">
        <f aca="false">E7*'Calcul Re'!$B$52/('Calcul Re'!$B$46*'Calcul Re'!$B$51)</f>
        <v>714.257426824992</v>
      </c>
      <c r="H7" s="5"/>
      <c r="I7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Re'!$B$60^4)*$A7/('Calcul Re'!$B$17*'Calcul Re'!$B$35))*PI()*'Calcul Re'!$B$59^2/4*SQRT(2*MAX($A7,0)*'Calcul Re'!$B$45)</f>
        <v>0.00130188819394987</v>
      </c>
      <c r="J7" s="43" t="n">
        <f aca="false">(0.5961+0.0261*'Calcul Re'!$B$60^2-0.216*'Calcul Re'!$B$60^8+0.000521*(1000000*'Calcul Re'!$B$60/MAX(4*I7/(PI()*'Calcul Re'!$B$58*'Calcul Re'!$B$46),100))^0.7+(0.0188+0.0063*(19000*'Calcul Re'!$B$60/MAX(4*I7/(PI()*'Calcul Re'!$B$58*'Calcul Re'!$B$46),100))^0.8)*'Calcul Re'!$B$60^3.5*(1000000/MAX(4*I7/(PI()*'Calcul Re'!$B$58*'Calcul Re'!$B$46),100))^0.3)*'Calcul Re'!$B$61*(1-(0.41+0.35*'Calcul Re'!$B$60^4)*$A7/('Calcul Re'!$B$17*'Calcul Re'!$B$35))*PI()*'Calcul Re'!$B$59^2/4*SQRT(2*MAX($A7,0)*'Calcul Re'!$B$45)</f>
        <v>0.00146522726511088</v>
      </c>
      <c r="K7" s="43" t="n">
        <f aca="false">(0.5961+0.0261*'Calcul Re'!$B$60^2-0.216*'Calcul Re'!$B$60^8+0.000521*(1000000*'Calcul Re'!$B$60/MAX(4*J7/(PI()*'Calcul Re'!$B$58*'Calcul Re'!$B$46),100))^0.7+(0.0188+0.0063*(19000*'Calcul Re'!$B$60/MAX(4*J7/(PI()*'Calcul Re'!$B$58*'Calcul Re'!$B$46),100))^0.8)*'Calcul Re'!$B$60^3.5*(1000000/MAX(4*J7/(PI()*'Calcul Re'!$B$58*'Calcul Re'!$B$46),100))^0.3)*'Calcul Re'!$B$61*(1-(0.41+0.35*'Calcul Re'!$B$60^4)*$A7/('Calcul Re'!$B$17*'Calcul Re'!$B$35))*PI()*'Calcul Re'!$B$59^2/4*SQRT(2*MAX($A7,0)*'Calcul Re'!$B$45)</f>
        <v>0.00145001113256785</v>
      </c>
      <c r="L7" s="43" t="n">
        <f aca="false">(0.5961+0.0261*'Calcul Re'!$B$60^2-0.216*'Calcul Re'!$B$60^8+0.000521*(1000000*'Calcul Re'!$B$60/MAX(4*K7/(PI()*'Calcul Re'!$B$58*'Calcul Re'!$B$46),100))^0.7+(0.0188+0.0063*(19000*'Calcul Re'!$B$60/MAX(4*K7/(PI()*'Calcul Re'!$B$58*'Calcul Re'!$B$46),100))^0.8)*'Calcul Re'!$B$60^3.5*(1000000/MAX(4*K7/(PI()*'Calcul Re'!$B$58*'Calcul Re'!$B$46),100))^0.3)*'Calcul Re'!$B$61*(1-(0.41+0.35*'Calcul Re'!$B$60^4)*$A7/('Calcul Re'!$B$17*'Calcul Re'!$B$35))*PI()*'Calcul Re'!$B$59^2/4*SQRT(2*MAX($A7,0)*'Calcul Re'!$B$45)</f>
        <v>0.0014512929467209</v>
      </c>
      <c r="M7" s="43" t="n">
        <f aca="false">(0.5961+0.0261*'Calcul Re'!$B$60^2-0.216*'Calcul Re'!$B$60^8+0.000521*(1000000*'Calcul Re'!$B$60/MAX(4*L7/(PI()*'Calcul Re'!$B$58*'Calcul Re'!$B$46),100))^0.7+(0.0188+0.0063*(19000*'Calcul Re'!$B$60/MAX(4*L7/(PI()*'Calcul Re'!$B$58*'Calcul Re'!$B$46),100))^0.8)*'Calcul Re'!$B$60^3.5*(1000000/MAX(4*L7/(PI()*'Calcul Re'!$B$58*'Calcul Re'!$B$46),100))^0.3)*'Calcul Re'!$B$61*(1-(0.41+0.35*'Calcul Re'!$B$60^4)*$A7/('Calcul Re'!$B$17*'Calcul Re'!$B$35))*PI()*'Calcul Re'!$B$59^2/4*SQRT(2*MAX($A7,0)*'Calcul Re'!$B$45)</f>
        <v>0.00145118399816176</v>
      </c>
      <c r="N7" s="43" t="n">
        <f aca="false">(0.5961+0.0261*'Calcul Re'!$B$60^2-0.216*'Calcul Re'!$B$60^8+0.000521*(1000000*'Calcul Re'!$B$60/MAX(4*M7/(PI()*'Calcul Re'!$B$58*'Calcul Re'!$B$46),100))^0.7+(0.0188+0.0063*(19000*'Calcul Re'!$B$60/MAX(4*M7/(PI()*'Calcul Re'!$B$58*'Calcul Re'!$B$46),100))^0.8)*'Calcul Re'!$B$60^3.5*(1000000/MAX(4*M7/(PI()*'Calcul Re'!$B$58*'Calcul Re'!$B$46),100))^0.3)*'Calcul Re'!$B$61*(1-(0.41+0.35*'Calcul Re'!$B$60^4)*$A7/('Calcul Re'!$B$17*'Calcul Re'!$B$35))*PI()*'Calcul Re'!$B$59^2/4*SQRT(2*MAX($A7,0)*'Calcul Re'!$B$45)</f>
        <v>0.00145119325132001</v>
      </c>
      <c r="O7" s="43" t="n">
        <f aca="false">(0.5961+0.0261*'Calcul Re'!$B$60^2-0.216*'Calcul Re'!$B$60^8+0.000521*(1000000*'Calcul Re'!$B$60/MAX(4*N7/(PI()*'Calcul Re'!$B$58*'Calcul Re'!$B$46),100))^0.7+(0.0188+0.0063*(19000*'Calcul Re'!$B$60/MAX(4*N7/(PI()*'Calcul Re'!$B$58*'Calcul Re'!$B$46),100))^0.8)*'Calcul Re'!$B$60^3.5*(1000000/MAX(4*N7/(PI()*'Calcul Re'!$B$58*'Calcul Re'!$B$46),100))^0.3)*'Calcul Re'!$B$61*(1-(0.41+0.35*'Calcul Re'!$B$60^4)*$A7/('Calcul Re'!$B$17*'Calcul Re'!$B$35))*PI()*'Calcul Re'!$B$59^2/4*SQRT(2*MAX($A7,0)*'Calcul Re'!$B$45)</f>
        <v>0.00145119246538552</v>
      </c>
      <c r="P7" s="43" t="n">
        <f aca="false">(0.5961+0.0261*'Calcul Re'!$B$60^2-0.216*'Calcul Re'!$B$60^8+0.000521*(1000000*'Calcul Re'!$B$60/MAX(4*O7/(PI()*'Calcul Re'!$B$58*'Calcul Re'!$B$46),100))^0.7+(0.0188+0.0063*(19000*'Calcul Re'!$B$60/MAX(4*O7/(PI()*'Calcul Re'!$B$58*'Calcul Re'!$B$46),100))^0.8)*'Calcul Re'!$B$60^3.5*(1000000/MAX(4*O7/(PI()*'Calcul Re'!$B$58*'Calcul Re'!$B$46),100))^0.3)*'Calcul Re'!$B$61*(1-(0.41+0.35*'Calcul Re'!$B$60^4)*$A7/('Calcul Re'!$B$17*'Calcul Re'!$B$35))*PI()*'Calcul Re'!$B$59^2/4*SQRT(2*MAX($A7,0)*'Calcul Re'!$B$45)</f>
        <v>0.00145119253213999</v>
      </c>
      <c r="Q7" s="43" t="n">
        <f aca="false">(0.5961+0.0261*'Calcul Re'!$B$60^2-0.216*'Calcul Re'!$B$60^8+0.000521*(1000000*'Calcul Re'!$B$60/MAX(4*P7/(PI()*'Calcul Re'!$B$58*'Calcul Re'!$B$46),100))^0.7+(0.0188+0.0063*(19000*'Calcul Re'!$B$60/MAX(4*P7/(PI()*'Calcul Re'!$B$58*'Calcul Re'!$B$46),100))^0.8)*'Calcul Re'!$B$60^3.5*(1000000/MAX(4*P7/(PI()*'Calcul Re'!$B$58*'Calcul Re'!$B$46),100))^0.3)*'Calcul Re'!$B$61*(1-(0.41+0.35*'Calcul Re'!$B$60^4)*$A7/('Calcul Re'!$B$17*'Calcul Re'!$B$35))*PI()*'Calcul Re'!$B$59^2/4*SQRT(2*MAX($A7,0)*'Calcul Re'!$B$45)</f>
        <v>0.0014511925264701</v>
      </c>
      <c r="R7" s="43" t="n">
        <f aca="false">(0.5961+0.0261*'Calcul Re'!$B$60^2-0.216*'Calcul Re'!$B$60^8+0.000521*(1000000*'Calcul Re'!$B$60/MAX(4*Q7/(PI()*'Calcul Re'!$B$58*'Calcul Re'!$B$46),100))^0.7+(0.0188+0.0063*(19000*'Calcul Re'!$B$60/MAX(4*Q7/(PI()*'Calcul Re'!$B$58*'Calcul Re'!$B$46),100))^0.8)*'Calcul Re'!$B$60^3.5*(1000000/MAX(4*Q7/(PI()*'Calcul Re'!$B$58*'Calcul Re'!$B$46),100))^0.3)*'Calcul Re'!$B$61*(1-(0.41+0.35*'Calcul Re'!$B$60^4)*$A7/('Calcul Re'!$B$17*'Calcul Re'!$B$35))*PI()*'Calcul Re'!$B$59^2/4*SQRT(2*MAX($A7,0)*'Calcul Re'!$B$45)</f>
        <v>0.00145119252695168</v>
      </c>
    </row>
    <row r="8" customFormat="false" ht="15" hidden="false" customHeight="false" outlineLevel="0" collapsed="false">
      <c r="A8" s="42" t="n">
        <v>2</v>
      </c>
      <c r="B8" s="26" t="n">
        <f aca="false">IF($A8&lt;'Calcul Re'!$B$22,0,PI()*SQRT(2)/4*'Calcul Re'!$C$63*'Calcul Re'!$C$59^2*(1-(0.41+0.35*'Calcul Re'!$C$60^4)/'Calcul Re'!$B$17*($A8/'Calcul Re'!$B$35))*SQRT($A8)*SQRT('Calcul Re'!$B$45)/SQRT(1-'Calcul Re'!$C$60^4))</f>
        <v>0.000596325842300759</v>
      </c>
      <c r="C8" s="32" t="n">
        <f aca="false">4*B8/(PI()*'Calcul Re'!$B$26/1000*'Calcul Re'!$B$46)</f>
        <v>548.841867379139</v>
      </c>
      <c r="D8" s="32" t="n">
        <f aca="false">B8*'Calcul Re'!$B$52/('Calcul Re'!$B$46*'Calcul Re'!$B$51)</f>
        <v>293.503552258279</v>
      </c>
      <c r="E8" s="26" t="n">
        <f aca="false">IF($A8&lt;'Calcul Re'!$B$22,0,R8)</f>
        <v>0.00200321996920386</v>
      </c>
      <c r="F8" s="32" t="n">
        <f aca="false">4*E8/(PI()*'Calcul Re'!$B$26/1000*'Calcul Re'!$B$46)</f>
        <v>1843.70844038403</v>
      </c>
      <c r="G8" s="32" t="n">
        <f aca="false">E8*'Calcul Re'!$B$52/('Calcul Re'!$B$46*'Calcul Re'!$B$51)</f>
        <v>985.957902893494</v>
      </c>
      <c r="H8" s="5"/>
      <c r="I8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Re'!$B$60^4)*$A8/('Calcul Re'!$B$17*'Calcul Re'!$B$35))*PI()*'Calcul Re'!$B$59^2/4*SQRT(2*MAX($A8,0)*'Calcul Re'!$B$45)</f>
        <v>0.00184114227349415</v>
      </c>
      <c r="J8" s="43" t="n">
        <f aca="false">(0.5961+0.0261*'Calcul Re'!$B$60^2-0.216*'Calcul Re'!$B$60^8+0.000521*(1000000*'Calcul Re'!$B$60/MAX(4*I8/(PI()*'Calcul Re'!$B$58*'Calcul Re'!$B$46),100))^0.7+(0.0188+0.0063*(19000*'Calcul Re'!$B$60/MAX(4*I8/(PI()*'Calcul Re'!$B$58*'Calcul Re'!$B$46),100))^0.8)*'Calcul Re'!$B$60^3.5*(1000000/MAX(4*I8/(PI()*'Calcul Re'!$B$58*'Calcul Re'!$B$46),100))^0.3)*'Calcul Re'!$B$61*(1-(0.41+0.35*'Calcul Re'!$B$60^4)*$A8/('Calcul Re'!$B$17*'Calcul Re'!$B$35))*PI()*'Calcul Re'!$B$59^2/4*SQRT(2*MAX($A8,0)*'Calcul Re'!$B$45)</f>
        <v>0.00201478492730672</v>
      </c>
      <c r="K8" s="43" t="n">
        <f aca="false">(0.5961+0.0261*'Calcul Re'!$B$60^2-0.216*'Calcul Re'!$B$60^8+0.000521*(1000000*'Calcul Re'!$B$60/MAX(4*J8/(PI()*'Calcul Re'!$B$58*'Calcul Re'!$B$46),100))^0.7+(0.0188+0.0063*(19000*'Calcul Re'!$B$60/MAX(4*J8/(PI()*'Calcul Re'!$B$58*'Calcul Re'!$B$46),100))^0.8)*'Calcul Re'!$B$60^3.5*(1000000/MAX(4*J8/(PI()*'Calcul Re'!$B$58*'Calcul Re'!$B$46),100))^0.3)*'Calcul Re'!$B$61*(1-(0.41+0.35*'Calcul Re'!$B$60^4)*$A8/('Calcul Re'!$B$17*'Calcul Re'!$B$35))*PI()*'Calcul Re'!$B$59^2/4*SQRT(2*MAX($A8,0)*'Calcul Re'!$B$45)</f>
        <v>0.00200246064016229</v>
      </c>
      <c r="L8" s="43" t="n">
        <f aca="false">(0.5961+0.0261*'Calcul Re'!$B$60^2-0.216*'Calcul Re'!$B$60^8+0.000521*(1000000*'Calcul Re'!$B$60/MAX(4*K8/(PI()*'Calcul Re'!$B$58*'Calcul Re'!$B$46),100))^0.7+(0.0188+0.0063*(19000*'Calcul Re'!$B$60/MAX(4*K8/(PI()*'Calcul Re'!$B$58*'Calcul Re'!$B$46),100))^0.8)*'Calcul Re'!$B$60^3.5*(1000000/MAX(4*K8/(PI()*'Calcul Re'!$B$58*'Calcul Re'!$B$46),100))^0.3)*'Calcul Re'!$B$61*(1-(0.41+0.35*'Calcul Re'!$B$60^4)*$A8/('Calcul Re'!$B$17*'Calcul Re'!$B$35))*PI()*'Calcul Re'!$B$59^2/4*SQRT(2*MAX($A8,0)*'Calcul Re'!$B$45)</f>
        <v>0.00200327010824476</v>
      </c>
      <c r="M8" s="43" t="n">
        <f aca="false">(0.5961+0.0261*'Calcul Re'!$B$60^2-0.216*'Calcul Re'!$B$60^8+0.000521*(1000000*'Calcul Re'!$B$60/MAX(4*L8/(PI()*'Calcul Re'!$B$58*'Calcul Re'!$B$46),100))^0.7+(0.0188+0.0063*(19000*'Calcul Re'!$B$60/MAX(4*L8/(PI()*'Calcul Re'!$B$58*'Calcul Re'!$B$46),100))^0.8)*'Calcul Re'!$B$60^3.5*(1000000/MAX(4*L8/(PI()*'Calcul Re'!$B$58*'Calcul Re'!$B$46),100))^0.3)*'Calcul Re'!$B$61*(1-(0.41+0.35*'Calcul Re'!$B$60^4)*$A8/('Calcul Re'!$B$17*'Calcul Re'!$B$35))*PI()*'Calcul Re'!$B$59^2/4*SQRT(2*MAX($A8,0)*'Calcul Re'!$B$45)</f>
        <v>0.00200321665971741</v>
      </c>
      <c r="N8" s="43" t="n">
        <f aca="false">(0.5961+0.0261*'Calcul Re'!$B$60^2-0.216*'Calcul Re'!$B$60^8+0.000521*(1000000*'Calcul Re'!$B$60/MAX(4*M8/(PI()*'Calcul Re'!$B$58*'Calcul Re'!$B$46),100))^0.7+(0.0188+0.0063*(19000*'Calcul Re'!$B$60/MAX(4*M8/(PI()*'Calcul Re'!$B$58*'Calcul Re'!$B$46),100))^0.8)*'Calcul Re'!$B$60^3.5*(1000000/MAX(4*M8/(PI()*'Calcul Re'!$B$58*'Calcul Re'!$B$46),100))^0.3)*'Calcul Re'!$B$61*(1-(0.41+0.35*'Calcul Re'!$B$60^4)*$A8/('Calcul Re'!$B$17*'Calcul Re'!$B$35))*PI()*'Calcul Re'!$B$59^2/4*SQRT(2*MAX($A8,0)*'Calcul Re'!$B$45)</f>
        <v>0.00200322018765108</v>
      </c>
      <c r="O8" s="43" t="n">
        <f aca="false">(0.5961+0.0261*'Calcul Re'!$B$60^2-0.216*'Calcul Re'!$B$60^8+0.000521*(1000000*'Calcul Re'!$B$60/MAX(4*N8/(PI()*'Calcul Re'!$B$58*'Calcul Re'!$B$46),100))^0.7+(0.0188+0.0063*(19000*'Calcul Re'!$B$60/MAX(4*N8/(PI()*'Calcul Re'!$B$58*'Calcul Re'!$B$46),100))^0.8)*'Calcul Re'!$B$60^3.5*(1000000/MAX(4*N8/(PI()*'Calcul Re'!$B$58*'Calcul Re'!$B$46),100))^0.3)*'Calcul Re'!$B$61*(1-(0.41+0.35*'Calcul Re'!$B$60^4)*$A8/('Calcul Re'!$B$17*'Calcul Re'!$B$35))*PI()*'Calcul Re'!$B$59^2/4*SQRT(2*MAX($A8,0)*'Calcul Re'!$B$45)</f>
        <v>0.00200321995478026</v>
      </c>
      <c r="P8" s="43" t="n">
        <f aca="false">(0.5961+0.0261*'Calcul Re'!$B$60^2-0.216*'Calcul Re'!$B$60^8+0.000521*(1000000*'Calcul Re'!$B$60/MAX(4*O8/(PI()*'Calcul Re'!$B$58*'Calcul Re'!$B$46),100))^0.7+(0.0188+0.0063*(19000*'Calcul Re'!$B$60/MAX(4*O8/(PI()*'Calcul Re'!$B$58*'Calcul Re'!$B$46),100))^0.8)*'Calcul Re'!$B$60^3.5*(1000000/MAX(4*O8/(PI()*'Calcul Re'!$B$58*'Calcul Re'!$B$46),100))^0.3)*'Calcul Re'!$B$61*(1-(0.41+0.35*'Calcul Re'!$B$60^4)*$A8/('Calcul Re'!$B$17*'Calcul Re'!$B$35))*PI()*'Calcul Re'!$B$59^2/4*SQRT(2*MAX($A8,0)*'Calcul Re'!$B$45)</f>
        <v>0.0020032199701515</v>
      </c>
      <c r="Q8" s="43" t="n">
        <f aca="false">(0.5961+0.0261*'Calcul Re'!$B$60^2-0.216*'Calcul Re'!$B$60^8+0.000521*(1000000*'Calcul Re'!$B$60/MAX(4*P8/(PI()*'Calcul Re'!$B$58*'Calcul Re'!$B$46),100))^0.7+(0.0188+0.0063*(19000*'Calcul Re'!$B$60/MAX(4*P8/(PI()*'Calcul Re'!$B$58*'Calcul Re'!$B$46),100))^0.8)*'Calcul Re'!$B$60^3.5*(1000000/MAX(4*P8/(PI()*'Calcul Re'!$B$58*'Calcul Re'!$B$46),100))^0.3)*'Calcul Re'!$B$61*(1-(0.41+0.35*'Calcul Re'!$B$60^4)*$A8/('Calcul Re'!$B$17*'Calcul Re'!$B$35))*PI()*'Calcul Re'!$B$59^2/4*SQRT(2*MAX($A8,0)*'Calcul Re'!$B$45)</f>
        <v>0.00200321996913688</v>
      </c>
      <c r="R8" s="43" t="n">
        <f aca="false">(0.5961+0.0261*'Calcul Re'!$B$60^2-0.216*'Calcul Re'!$B$60^8+0.000521*(1000000*'Calcul Re'!$B$60/MAX(4*Q8/(PI()*'Calcul Re'!$B$58*'Calcul Re'!$B$46),100))^0.7+(0.0188+0.0063*(19000*'Calcul Re'!$B$60/MAX(4*Q8/(PI()*'Calcul Re'!$B$58*'Calcul Re'!$B$46),100))^0.8)*'Calcul Re'!$B$60^3.5*(1000000/MAX(4*Q8/(PI()*'Calcul Re'!$B$58*'Calcul Re'!$B$46),100))^0.3)*'Calcul Re'!$B$61*(1-(0.41+0.35*'Calcul Re'!$B$60^4)*$A8/('Calcul Re'!$B$17*'Calcul Re'!$B$35))*PI()*'Calcul Re'!$B$59^2/4*SQRT(2*MAX($A8,0)*'Calcul Re'!$B$45)</f>
        <v>0.00200321996920386</v>
      </c>
    </row>
    <row r="9" customFormat="false" ht="15" hidden="false" customHeight="false" outlineLevel="0" collapsed="false">
      <c r="A9" s="42" t="n">
        <v>3</v>
      </c>
      <c r="B9" s="26" t="n">
        <f aca="false">IF($A9&lt;'Calcul Re'!$B$22,0,PI()*SQRT(2)/4*'Calcul Re'!$C$63*'Calcul Re'!$C$59^2*(1-(0.41+0.35*'Calcul Re'!$C$60^4)/'Calcul Re'!$B$17*($A9/'Calcul Re'!$B$35))*SQRT($A9)*SQRT('Calcul Re'!$B$45)/SQRT(1-'Calcul Re'!$C$60^4))</f>
        <v>0.000730344906098352</v>
      </c>
      <c r="C9" s="32" t="n">
        <f aca="false">4*B9/(PI()*'Calcul Re'!$B$26/1000*'Calcul Re'!$B$46)</f>
        <v>672.189319428646</v>
      </c>
      <c r="D9" s="32" t="n">
        <f aca="false">B9*'Calcul Re'!$B$52/('Calcul Re'!$B$46*'Calcul Re'!$B$51)</f>
        <v>359.465931388386</v>
      </c>
      <c r="E9" s="26" t="n">
        <f aca="false">IF($A9&lt;'Calcul Re'!$B$22,0,R9)</f>
        <v>0.00242485184417239</v>
      </c>
      <c r="F9" s="32" t="n">
        <f aca="false">4*E9/(PI()*'Calcul Re'!$B$26/1000*'Calcul Re'!$B$46)</f>
        <v>2231.76679571451</v>
      </c>
      <c r="G9" s="32" t="n">
        <f aca="false">E9*'Calcul Re'!$B$52/('Calcul Re'!$B$46*'Calcul Re'!$B$51)</f>
        <v>1193.47943603907</v>
      </c>
      <c r="H9" s="5"/>
      <c r="I9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Re'!$B$60^4)*$A9/('Calcul Re'!$B$17*'Calcul Re'!$B$35))*PI()*'Calcul Re'!$B$59^2/4*SQRT(2*MAX($A9,0)*'Calcul Re'!$B$45)</f>
        <v>0.00225492261623316</v>
      </c>
      <c r="J9" s="43" t="n">
        <f aca="false">(0.5961+0.0261*'Calcul Re'!$B$60^2-0.216*'Calcul Re'!$B$60^8+0.000521*(1000000*'Calcul Re'!$B$60/MAX(4*I9/(PI()*'Calcul Re'!$B$58*'Calcul Re'!$B$46),100))^0.7+(0.0188+0.0063*(19000*'Calcul Re'!$B$60/MAX(4*I9/(PI()*'Calcul Re'!$B$58*'Calcul Re'!$B$46),100))^0.8)*'Calcul Re'!$B$60^3.5*(1000000/MAX(4*I9/(PI()*'Calcul Re'!$B$58*'Calcul Re'!$B$46),100))^0.3)*'Calcul Re'!$B$61*(1-(0.41+0.35*'Calcul Re'!$B$60^4)*$A9/('Calcul Re'!$B$17*'Calcul Re'!$B$35))*PI()*'Calcul Re'!$B$59^2/4*SQRT(2*MAX($A9,0)*'Calcul Re'!$B$45)</f>
        <v>0.00243518412420331</v>
      </c>
      <c r="K9" s="43" t="n">
        <f aca="false">(0.5961+0.0261*'Calcul Re'!$B$60^2-0.216*'Calcul Re'!$B$60^8+0.000521*(1000000*'Calcul Re'!$B$60/MAX(4*J9/(PI()*'Calcul Re'!$B$58*'Calcul Re'!$B$46),100))^0.7+(0.0188+0.0063*(19000*'Calcul Re'!$B$60/MAX(4*J9/(PI()*'Calcul Re'!$B$58*'Calcul Re'!$B$46),100))^0.8)*'Calcul Re'!$B$60^3.5*(1000000/MAX(4*J9/(PI()*'Calcul Re'!$B$58*'Calcul Re'!$B$46),100))^0.3)*'Calcul Re'!$B$61*(1-(0.41+0.35*'Calcul Re'!$B$60^4)*$A9/('Calcul Re'!$B$17*'Calcul Re'!$B$35))*PI()*'Calcul Re'!$B$59^2/4*SQRT(2*MAX($A9,0)*'Calcul Re'!$B$45)</f>
        <v>0.0024242663668388</v>
      </c>
      <c r="L9" s="43" t="n">
        <f aca="false">(0.5961+0.0261*'Calcul Re'!$B$60^2-0.216*'Calcul Re'!$B$60^8+0.000521*(1000000*'Calcul Re'!$B$60/MAX(4*K9/(PI()*'Calcul Re'!$B$58*'Calcul Re'!$B$46),100))^0.7+(0.0188+0.0063*(19000*'Calcul Re'!$B$60/MAX(4*K9/(PI()*'Calcul Re'!$B$58*'Calcul Re'!$B$46),100))^0.8)*'Calcul Re'!$B$60^3.5*(1000000/MAX(4*K9/(PI()*'Calcul Re'!$B$58*'Calcul Re'!$B$46),100))^0.3)*'Calcul Re'!$B$61*(1-(0.41+0.35*'Calcul Re'!$B$60^4)*$A9/('Calcul Re'!$B$17*'Calcul Re'!$B$35))*PI()*'Calcul Re'!$B$59^2/4*SQRT(2*MAX($A9,0)*'Calcul Re'!$B$45)</f>
        <v>0.0024248851571014</v>
      </c>
      <c r="M9" s="43" t="n">
        <f aca="false">(0.5961+0.0261*'Calcul Re'!$B$60^2-0.216*'Calcul Re'!$B$60^8+0.000521*(1000000*'Calcul Re'!$B$60/MAX(4*L9/(PI()*'Calcul Re'!$B$58*'Calcul Re'!$B$46),100))^0.7+(0.0188+0.0063*(19000*'Calcul Re'!$B$60/MAX(4*L9/(PI()*'Calcul Re'!$B$58*'Calcul Re'!$B$46),100))^0.8)*'Calcul Re'!$B$60^3.5*(1000000/MAX(4*L9/(PI()*'Calcul Re'!$B$58*'Calcul Re'!$B$46),100))^0.3)*'Calcul Re'!$B$61*(1-(0.41+0.35*'Calcul Re'!$B$60^4)*$A9/('Calcul Re'!$B$17*'Calcul Re'!$B$35))*PI()*'Calcul Re'!$B$59^2/4*SQRT(2*MAX($A9,0)*'Calcul Re'!$B$45)</f>
        <v>0.00242484994915045</v>
      </c>
      <c r="N9" s="43" t="n">
        <f aca="false">(0.5961+0.0261*'Calcul Re'!$B$60^2-0.216*'Calcul Re'!$B$60^8+0.000521*(1000000*'Calcul Re'!$B$60/MAX(4*M9/(PI()*'Calcul Re'!$B$58*'Calcul Re'!$B$46),100))^0.7+(0.0188+0.0063*(19000*'Calcul Re'!$B$60/MAX(4*M9/(PI()*'Calcul Re'!$B$58*'Calcul Re'!$B$46),100))^0.8)*'Calcul Re'!$B$60^3.5*(1000000/MAX(4*M9/(PI()*'Calcul Re'!$B$58*'Calcul Re'!$B$46),100))^0.3)*'Calcul Re'!$B$61*(1-(0.41+0.35*'Calcul Re'!$B$60^4)*$A9/('Calcul Re'!$B$17*'Calcul Re'!$B$35))*PI()*'Calcul Re'!$B$59^2/4*SQRT(2*MAX($A9,0)*'Calcul Re'!$B$45)</f>
        <v>0.00242485195197179</v>
      </c>
      <c r="O9" s="43" t="n">
        <f aca="false">(0.5961+0.0261*'Calcul Re'!$B$60^2-0.216*'Calcul Re'!$B$60^8+0.000521*(1000000*'Calcul Re'!$B$60/MAX(4*N9/(PI()*'Calcul Re'!$B$58*'Calcul Re'!$B$46),100))^0.7+(0.0188+0.0063*(19000*'Calcul Re'!$B$60/MAX(4*N9/(PI()*'Calcul Re'!$B$58*'Calcul Re'!$B$46),100))^0.8)*'Calcul Re'!$B$60^3.5*(1000000/MAX(4*N9/(PI()*'Calcul Re'!$B$58*'Calcul Re'!$B$46),100))^0.3)*'Calcul Re'!$B$61*(1-(0.41+0.35*'Calcul Re'!$B$60^4)*$A9/('Calcul Re'!$B$17*'Calcul Re'!$B$35))*PI()*'Calcul Re'!$B$59^2/4*SQRT(2*MAX($A9,0)*'Calcul Re'!$B$45)</f>
        <v>0.0024248518380389</v>
      </c>
      <c r="P9" s="43" t="n">
        <f aca="false">(0.5961+0.0261*'Calcul Re'!$B$60^2-0.216*'Calcul Re'!$B$60^8+0.000521*(1000000*'Calcul Re'!$B$60/MAX(4*O9/(PI()*'Calcul Re'!$B$58*'Calcul Re'!$B$46),100))^0.7+(0.0188+0.0063*(19000*'Calcul Re'!$B$60/MAX(4*O9/(PI()*'Calcul Re'!$B$58*'Calcul Re'!$B$46),100))^0.8)*'Calcul Re'!$B$60^3.5*(1000000/MAX(4*O9/(PI()*'Calcul Re'!$B$58*'Calcul Re'!$B$46),100))^0.3)*'Calcul Re'!$B$61*(1-(0.41+0.35*'Calcul Re'!$B$60^4)*$A9/('Calcul Re'!$B$17*'Calcul Re'!$B$35))*PI()*'Calcul Re'!$B$59^2/4*SQRT(2*MAX($A9,0)*'Calcul Re'!$B$45)</f>
        <v>0.0024248518445201</v>
      </c>
      <c r="Q9" s="43" t="n">
        <f aca="false">(0.5961+0.0261*'Calcul Re'!$B$60^2-0.216*'Calcul Re'!$B$60^8+0.000521*(1000000*'Calcul Re'!$B$60/MAX(4*P9/(PI()*'Calcul Re'!$B$58*'Calcul Re'!$B$46),100))^0.7+(0.0188+0.0063*(19000*'Calcul Re'!$B$60/MAX(4*P9/(PI()*'Calcul Re'!$B$58*'Calcul Re'!$B$46),100))^0.8)*'Calcul Re'!$B$60^3.5*(1000000/MAX(4*P9/(PI()*'Calcul Re'!$B$58*'Calcul Re'!$B$46),100))^0.3)*'Calcul Re'!$B$61*(1-(0.41+0.35*'Calcul Re'!$B$60^4)*$A9/('Calcul Re'!$B$17*'Calcul Re'!$B$35))*PI()*'Calcul Re'!$B$59^2/4*SQRT(2*MAX($A9,0)*'Calcul Re'!$B$45)</f>
        <v>0.00242485184415141</v>
      </c>
      <c r="R9" s="43" t="n">
        <f aca="false">(0.5961+0.0261*'Calcul Re'!$B$60^2-0.216*'Calcul Re'!$B$60^8+0.000521*(1000000*'Calcul Re'!$B$60/MAX(4*Q9/(PI()*'Calcul Re'!$B$58*'Calcul Re'!$B$46),100))^0.7+(0.0188+0.0063*(19000*'Calcul Re'!$B$60/MAX(4*Q9/(PI()*'Calcul Re'!$B$58*'Calcul Re'!$B$46),100))^0.8)*'Calcul Re'!$B$60^3.5*(1000000/MAX(4*Q9/(PI()*'Calcul Re'!$B$58*'Calcul Re'!$B$46),100))^0.3)*'Calcul Re'!$B$61*(1-(0.41+0.35*'Calcul Re'!$B$60^4)*$A9/('Calcul Re'!$B$17*'Calcul Re'!$B$35))*PI()*'Calcul Re'!$B$59^2/4*SQRT(2*MAX($A9,0)*'Calcul Re'!$B$45)</f>
        <v>0.00242485184417239</v>
      </c>
    </row>
    <row r="10" customFormat="false" ht="15" hidden="false" customHeight="false" outlineLevel="0" collapsed="false">
      <c r="A10" s="42" t="n">
        <v>5</v>
      </c>
      <c r="B10" s="26" t="n">
        <f aca="false">IF($A10&lt;'Calcul Re'!$B$22,0,PI()*SQRT(2)/4*'Calcul Re'!$C$63*'Calcul Re'!$C$59^2*(1-(0.41+0.35*'Calcul Re'!$C$60^4)/'Calcul Re'!$B$17*($A10/'Calcul Re'!$B$35))*SQRT($A10)*SQRT('Calcul Re'!$B$45)/SQRT(1-'Calcul Re'!$C$60^4))</f>
        <v>0.000942865769017555</v>
      </c>
      <c r="C10" s="32" t="n">
        <f aca="false">4*B10/(PI()*'Calcul Re'!$B$26/1000*'Calcul Re'!$B$46)</f>
        <v>867.787663467497</v>
      </c>
      <c r="D10" s="32" t="n">
        <f aca="false">B10*'Calcul Re'!$B$52/('Calcul Re'!$B$46*'Calcul Re'!$B$51)</f>
        <v>464.065839309736</v>
      </c>
      <c r="E10" s="26" t="n">
        <f aca="false">IF($A10&lt;'Calcul Re'!$B$22,0,R10)</f>
        <v>0.00309127902977203</v>
      </c>
      <c r="F10" s="32" t="n">
        <f aca="false">4*E10/(PI()*'Calcul Re'!$B$26/1000*'Calcul Re'!$B$46)</f>
        <v>2845.12800710447</v>
      </c>
      <c r="G10" s="32" t="n">
        <f aca="false">E10*'Calcul Re'!$B$52/('Calcul Re'!$B$46*'Calcul Re'!$B$51)</f>
        <v>1521.48592581372</v>
      </c>
      <c r="H10" s="5"/>
      <c r="I10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Re'!$B$60^4)*$A10/('Calcul Re'!$B$17*'Calcul Re'!$B$35))*PI()*'Calcul Re'!$B$59^2/4*SQRT(2*MAX($A10,0)*'Calcul Re'!$B$45)</f>
        <v>0.00291107465899534</v>
      </c>
      <c r="J10" s="43" t="n">
        <f aca="false">(0.5961+0.0261*'Calcul Re'!$B$60^2-0.216*'Calcul Re'!$B$60^8+0.000521*(1000000*'Calcul Re'!$B$60/MAX(4*I10/(PI()*'Calcul Re'!$B$58*'Calcul Re'!$B$46),100))^0.7+(0.0188+0.0063*(19000*'Calcul Re'!$B$60/MAX(4*I10/(PI()*'Calcul Re'!$B$58*'Calcul Re'!$B$46),100))^0.8)*'Calcul Re'!$B$60^3.5*(1000000/MAX(4*I10/(PI()*'Calcul Re'!$B$58*'Calcul Re'!$B$46),100))^0.3)*'Calcul Re'!$B$61*(1-(0.41+0.35*'Calcul Re'!$B$60^4)*$A10/('Calcul Re'!$B$17*'Calcul Re'!$B$35))*PI()*'Calcul Re'!$B$59^2/4*SQRT(2*MAX($A10,0)*'Calcul Re'!$B$45)</f>
        <v>0.00310025227415788</v>
      </c>
      <c r="K10" s="43" t="n">
        <f aca="false">(0.5961+0.0261*'Calcul Re'!$B$60^2-0.216*'Calcul Re'!$B$60^8+0.000521*(1000000*'Calcul Re'!$B$60/MAX(4*J10/(PI()*'Calcul Re'!$B$58*'Calcul Re'!$B$46),100))^0.7+(0.0188+0.0063*(19000*'Calcul Re'!$B$60/MAX(4*J10/(PI()*'Calcul Re'!$B$58*'Calcul Re'!$B$46),100))^0.8)*'Calcul Re'!$B$60^3.5*(1000000/MAX(4*J10/(PI()*'Calcul Re'!$B$58*'Calcul Re'!$B$46),100))^0.3)*'Calcul Re'!$B$61*(1-(0.41+0.35*'Calcul Re'!$B$60^4)*$A10/('Calcul Re'!$B$17*'Calcul Re'!$B$35))*PI()*'Calcul Re'!$B$59^2/4*SQRT(2*MAX($A10,0)*'Calcul Re'!$B$45)</f>
        <v>0.00309085703582867</v>
      </c>
      <c r="L10" s="43" t="n">
        <f aca="false">(0.5961+0.0261*'Calcul Re'!$B$60^2-0.216*'Calcul Re'!$B$60^8+0.000521*(1000000*'Calcul Re'!$B$60/MAX(4*K10/(PI()*'Calcul Re'!$B$58*'Calcul Re'!$B$46),100))^0.7+(0.0188+0.0063*(19000*'Calcul Re'!$B$60/MAX(4*K10/(PI()*'Calcul Re'!$B$58*'Calcul Re'!$B$46),100))^0.8)*'Calcul Re'!$B$60^3.5*(1000000/MAX(4*K10/(PI()*'Calcul Re'!$B$58*'Calcul Re'!$B$46),100))^0.3)*'Calcul Re'!$B$61*(1-(0.41+0.35*'Calcul Re'!$B$60^4)*$A10/('Calcul Re'!$B$17*'Calcul Re'!$B$35))*PI()*'Calcul Re'!$B$59^2/4*SQRT(2*MAX($A10,0)*'Calcul Re'!$B$45)</f>
        <v>0.00309129893008478</v>
      </c>
      <c r="M10" s="43" t="n">
        <f aca="false">(0.5961+0.0261*'Calcul Re'!$B$60^2-0.216*'Calcul Re'!$B$60^8+0.000521*(1000000*'Calcul Re'!$B$60/MAX(4*L10/(PI()*'Calcul Re'!$B$58*'Calcul Re'!$B$46),100))^0.7+(0.0188+0.0063*(19000*'Calcul Re'!$B$60/MAX(4*L10/(PI()*'Calcul Re'!$B$58*'Calcul Re'!$B$46),100))^0.8)*'Calcul Re'!$B$60^3.5*(1000000/MAX(4*L10/(PI()*'Calcul Re'!$B$58*'Calcul Re'!$B$46),100))^0.3)*'Calcul Re'!$B$61*(1-(0.41+0.35*'Calcul Re'!$B$60^4)*$A10/('Calcul Re'!$B$17*'Calcul Re'!$B$35))*PI()*'Calcul Re'!$B$59^2/4*SQRT(2*MAX($A10,0)*'Calcul Re'!$B$45)</f>
        <v>0.00309127809143833</v>
      </c>
      <c r="N10" s="43" t="n">
        <f aca="false">(0.5961+0.0261*'Calcul Re'!$B$60^2-0.216*'Calcul Re'!$B$60^8+0.000521*(1000000*'Calcul Re'!$B$60/MAX(4*M10/(PI()*'Calcul Re'!$B$58*'Calcul Re'!$B$46),100))^0.7+(0.0188+0.0063*(19000*'Calcul Re'!$B$60/MAX(4*M10/(PI()*'Calcul Re'!$B$58*'Calcul Re'!$B$46),100))^0.8)*'Calcul Re'!$B$60^3.5*(1000000/MAX(4*M10/(PI()*'Calcul Re'!$B$58*'Calcul Re'!$B$46),100))^0.3)*'Calcul Re'!$B$61*(1-(0.41+0.35*'Calcul Re'!$B$60^4)*$A10/('Calcul Re'!$B$17*'Calcul Re'!$B$35))*PI()*'Calcul Re'!$B$59^2/4*SQRT(2*MAX($A10,0)*'Calcul Re'!$B$45)</f>
        <v>0.0030912790740161</v>
      </c>
      <c r="O10" s="43" t="n">
        <f aca="false">(0.5961+0.0261*'Calcul Re'!$B$60^2-0.216*'Calcul Re'!$B$60^8+0.000521*(1000000*'Calcul Re'!$B$60/MAX(4*N10/(PI()*'Calcul Re'!$B$58*'Calcul Re'!$B$46),100))^0.7+(0.0188+0.0063*(19000*'Calcul Re'!$B$60/MAX(4*N10/(PI()*'Calcul Re'!$B$58*'Calcul Re'!$B$46),100))^0.8)*'Calcul Re'!$B$60^3.5*(1000000/MAX(4*N10/(PI()*'Calcul Re'!$B$58*'Calcul Re'!$B$46),100))^0.3)*'Calcul Re'!$B$61*(1-(0.41+0.35*'Calcul Re'!$B$60^4)*$A10/('Calcul Re'!$B$17*'Calcul Re'!$B$35))*PI()*'Calcul Re'!$B$59^2/4*SQRT(2*MAX($A10,0)*'Calcul Re'!$B$45)</f>
        <v>0.00309127902768561</v>
      </c>
      <c r="P10" s="43" t="n">
        <f aca="false">(0.5961+0.0261*'Calcul Re'!$B$60^2-0.216*'Calcul Re'!$B$60^8+0.000521*(1000000*'Calcul Re'!$B$60/MAX(4*O10/(PI()*'Calcul Re'!$B$58*'Calcul Re'!$B$46),100))^0.7+(0.0188+0.0063*(19000*'Calcul Re'!$B$60/MAX(4*O10/(PI()*'Calcul Re'!$B$58*'Calcul Re'!$B$46),100))^0.8)*'Calcul Re'!$B$60^3.5*(1000000/MAX(4*O10/(PI()*'Calcul Re'!$B$58*'Calcul Re'!$B$46),100))^0.3)*'Calcul Re'!$B$61*(1-(0.41+0.35*'Calcul Re'!$B$60^4)*$A10/('Calcul Re'!$B$17*'Calcul Re'!$B$35))*PI()*'Calcul Re'!$B$59^2/4*SQRT(2*MAX($A10,0)*'Calcul Re'!$B$45)</f>
        <v>0.00309127902987018</v>
      </c>
      <c r="Q10" s="43" t="n">
        <f aca="false">(0.5961+0.0261*'Calcul Re'!$B$60^2-0.216*'Calcul Re'!$B$60^8+0.000521*(1000000*'Calcul Re'!$B$60/MAX(4*P10/(PI()*'Calcul Re'!$B$58*'Calcul Re'!$B$46),100))^0.7+(0.0188+0.0063*(19000*'Calcul Re'!$B$60/MAX(4*P10/(PI()*'Calcul Re'!$B$58*'Calcul Re'!$B$46),100))^0.8)*'Calcul Re'!$B$60^3.5*(1000000/MAX(4*P10/(PI()*'Calcul Re'!$B$58*'Calcul Re'!$B$46),100))^0.3)*'Calcul Re'!$B$61*(1-(0.41+0.35*'Calcul Re'!$B$60^4)*$A10/('Calcul Re'!$B$17*'Calcul Re'!$B$35))*PI()*'Calcul Re'!$B$59^2/4*SQRT(2*MAX($A10,0)*'Calcul Re'!$B$45)</f>
        <v>0.00309127902976718</v>
      </c>
      <c r="R10" s="43" t="n">
        <f aca="false">(0.5961+0.0261*'Calcul Re'!$B$60^2-0.216*'Calcul Re'!$B$60^8+0.000521*(1000000*'Calcul Re'!$B$60/MAX(4*Q10/(PI()*'Calcul Re'!$B$58*'Calcul Re'!$B$46),100))^0.7+(0.0188+0.0063*(19000*'Calcul Re'!$B$60/MAX(4*Q10/(PI()*'Calcul Re'!$B$58*'Calcul Re'!$B$46),100))^0.8)*'Calcul Re'!$B$60^3.5*(1000000/MAX(4*Q10/(PI()*'Calcul Re'!$B$58*'Calcul Re'!$B$46),100))^0.3)*'Calcul Re'!$B$61*(1-(0.41+0.35*'Calcul Re'!$B$60^4)*$A10/('Calcul Re'!$B$17*'Calcul Re'!$B$35))*PI()*'Calcul Re'!$B$59^2/4*SQRT(2*MAX($A10,0)*'Calcul Re'!$B$45)</f>
        <v>0.00309127902977203</v>
      </c>
    </row>
    <row r="11" customFormat="false" ht="15" hidden="false" customHeight="false" outlineLevel="0" collapsed="false">
      <c r="A11" s="42" t="n">
        <v>7.5</v>
      </c>
      <c r="B11" s="26" t="n">
        <f aca="false">IF($A11&lt;'Calcul Re'!$B$22,0,PI()*SQRT(2)/4*'Calcul Re'!$C$63*'Calcul Re'!$C$59^2*(1-(0.41+0.35*'Calcul Re'!$C$60^4)/'Calcul Re'!$B$17*($A11/'Calcul Re'!$B$35))*SQRT($A11)*SQRT('Calcul Re'!$B$45)/SQRT(1-'Calcul Re'!$C$60^4))</f>
        <v>0.00115476167080074</v>
      </c>
      <c r="C11" s="32" t="n">
        <f aca="false">4*B11/(PI()*'Calcul Re'!$B$26/1000*'Calcul Re'!$B$46)</f>
        <v>1062.81081050397</v>
      </c>
      <c r="D11" s="32" t="n">
        <f aca="false">B11*'Calcul Re'!$B$52/('Calcul Re'!$B$46*'Calcul Re'!$B$51)</f>
        <v>568.358149772728</v>
      </c>
      <c r="E11" s="26" t="n">
        <f aca="false">IF($A11&lt;'Calcul Re'!$B$22,0,R11)</f>
        <v>0.00375392236465415</v>
      </c>
      <c r="F11" s="32" t="n">
        <f aca="false">4*E11/(PI()*'Calcul Re'!$B$26/1000*'Calcul Re'!$B$46)</f>
        <v>3455.00666659684</v>
      </c>
      <c r="G11" s="32" t="n">
        <f aca="false">E11*'Calcul Re'!$B$52/('Calcul Re'!$B$46*'Calcul Re'!$B$51)</f>
        <v>1847.63005520076</v>
      </c>
      <c r="H11" s="5"/>
      <c r="I11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Re'!$B$60^4)*$A11/('Calcul Re'!$B$17*'Calcul Re'!$B$35))*PI()*'Calcul Re'!$B$59^2/4*SQRT(2*MAX($A11,0)*'Calcul Re'!$B$45)</f>
        <v>0.00356529632319415</v>
      </c>
      <c r="J11" s="43" t="n">
        <f aca="false">(0.5961+0.0261*'Calcul Re'!$B$60^2-0.216*'Calcul Re'!$B$60^8+0.000521*(1000000*'Calcul Re'!$B$60/MAX(4*I11/(PI()*'Calcul Re'!$B$58*'Calcul Re'!$B$46),100))^0.7+(0.0188+0.0063*(19000*'Calcul Re'!$B$60/MAX(4*I11/(PI()*'Calcul Re'!$B$58*'Calcul Re'!$B$46),100))^0.8)*'Calcul Re'!$B$60^3.5*(1000000/MAX(4*I11/(PI()*'Calcul Re'!$B$58*'Calcul Re'!$B$46),100))^0.3)*'Calcul Re'!$B$61*(1-(0.41+0.35*'Calcul Re'!$B$60^4)*$A11/('Calcul Re'!$B$17*'Calcul Re'!$B$35))*PI()*'Calcul Re'!$B$59^2/4*SQRT(2*MAX($A11,0)*'Calcul Re'!$B$45)</f>
        <v>0.00376195240038914</v>
      </c>
      <c r="K11" s="43" t="n">
        <f aca="false">(0.5961+0.0261*'Calcul Re'!$B$60^2-0.216*'Calcul Re'!$B$60^8+0.000521*(1000000*'Calcul Re'!$B$60/MAX(4*J11/(PI()*'Calcul Re'!$B$58*'Calcul Re'!$B$46),100))^0.7+(0.0188+0.0063*(19000*'Calcul Re'!$B$60/MAX(4*J11/(PI()*'Calcul Re'!$B$58*'Calcul Re'!$B$46),100))^0.8)*'Calcul Re'!$B$60^3.5*(1000000/MAX(4*J11/(PI()*'Calcul Re'!$B$58*'Calcul Re'!$B$46),100))^0.3)*'Calcul Re'!$B$61*(1-(0.41+0.35*'Calcul Re'!$B$60^4)*$A11/('Calcul Re'!$B$17*'Calcul Re'!$B$35))*PI()*'Calcul Re'!$B$59^2/4*SQRT(2*MAX($A11,0)*'Calcul Re'!$B$45)</f>
        <v>0.00375359665868732</v>
      </c>
      <c r="L11" s="43" t="n">
        <f aca="false">(0.5961+0.0261*'Calcul Re'!$B$60^2-0.216*'Calcul Re'!$B$60^8+0.000521*(1000000*'Calcul Re'!$B$60/MAX(4*K11/(PI()*'Calcul Re'!$B$58*'Calcul Re'!$B$46),100))^0.7+(0.0188+0.0063*(19000*'Calcul Re'!$B$60/MAX(4*K11/(PI()*'Calcul Re'!$B$58*'Calcul Re'!$B$46),100))^0.8)*'Calcul Re'!$B$60^3.5*(1000000/MAX(4*K11/(PI()*'Calcul Re'!$B$58*'Calcul Re'!$B$46),100))^0.3)*'Calcul Re'!$B$61*(1-(0.41+0.35*'Calcul Re'!$B$60^4)*$A11/('Calcul Re'!$B$17*'Calcul Re'!$B$35))*PI()*'Calcul Re'!$B$59^2/4*SQRT(2*MAX($A11,0)*'Calcul Re'!$B$45)</f>
        <v>0.00375393560209703</v>
      </c>
      <c r="M11" s="43" t="n">
        <f aca="false">(0.5961+0.0261*'Calcul Re'!$B$60^2-0.216*'Calcul Re'!$B$60^8+0.000521*(1000000*'Calcul Re'!$B$60/MAX(4*L11/(PI()*'Calcul Re'!$B$58*'Calcul Re'!$B$46),100))^0.7+(0.0188+0.0063*(19000*'Calcul Re'!$B$60/MAX(4*L11/(PI()*'Calcul Re'!$B$58*'Calcul Re'!$B$46),100))^0.8)*'Calcul Re'!$B$60^3.5*(1000000/MAX(4*L11/(PI()*'Calcul Re'!$B$58*'Calcul Re'!$B$46),100))^0.3)*'Calcul Re'!$B$61*(1-(0.41+0.35*'Calcul Re'!$B$60^4)*$A11/('Calcul Re'!$B$17*'Calcul Re'!$B$35))*PI()*'Calcul Re'!$B$59^2/4*SQRT(2*MAX($A11,0)*'Calcul Re'!$B$45)</f>
        <v>0.0037539218266976</v>
      </c>
      <c r="N11" s="43" t="n">
        <f aca="false">(0.5961+0.0261*'Calcul Re'!$B$60^2-0.216*'Calcul Re'!$B$60^8+0.000521*(1000000*'Calcul Re'!$B$60/MAX(4*M11/(PI()*'Calcul Re'!$B$58*'Calcul Re'!$B$46),100))^0.7+(0.0188+0.0063*(19000*'Calcul Re'!$B$60/MAX(4*M11/(PI()*'Calcul Re'!$B$58*'Calcul Re'!$B$46),100))^0.8)*'Calcul Re'!$B$60^3.5*(1000000/MAX(4*M11/(PI()*'Calcul Re'!$B$58*'Calcul Re'!$B$46),100))^0.3)*'Calcul Re'!$B$61*(1-(0.41+0.35*'Calcul Re'!$B$60^4)*$A11/('Calcul Re'!$B$17*'Calcul Re'!$B$35))*PI()*'Calcul Re'!$B$59^2/4*SQRT(2*MAX($A11,0)*'Calcul Re'!$B$45)</f>
        <v>0.00375392238651618</v>
      </c>
      <c r="O11" s="43" t="n">
        <f aca="false">(0.5961+0.0261*'Calcul Re'!$B$60^2-0.216*'Calcul Re'!$B$60^8+0.000521*(1000000*'Calcul Re'!$B$60/MAX(4*N11/(PI()*'Calcul Re'!$B$58*'Calcul Re'!$B$46),100))^0.7+(0.0188+0.0063*(19000*'Calcul Re'!$B$60/MAX(4*N11/(PI()*'Calcul Re'!$B$58*'Calcul Re'!$B$46),100))^0.8)*'Calcul Re'!$B$60^3.5*(1000000/MAX(4*N11/(PI()*'Calcul Re'!$B$58*'Calcul Re'!$B$46),100))^0.3)*'Calcul Re'!$B$61*(1-(0.41+0.35*'Calcul Re'!$B$60^4)*$A11/('Calcul Re'!$B$17*'Calcul Re'!$B$35))*PI()*'Calcul Re'!$B$59^2/4*SQRT(2*MAX($A11,0)*'Calcul Re'!$B$45)</f>
        <v>0.00375392236376564</v>
      </c>
      <c r="P11" s="43" t="n">
        <f aca="false">(0.5961+0.0261*'Calcul Re'!$B$60^2-0.216*'Calcul Re'!$B$60^8+0.000521*(1000000*'Calcul Re'!$B$60/MAX(4*O11/(PI()*'Calcul Re'!$B$58*'Calcul Re'!$B$46),100))^0.7+(0.0188+0.0063*(19000*'Calcul Re'!$B$60/MAX(4*O11/(PI()*'Calcul Re'!$B$58*'Calcul Re'!$B$46),100))^0.8)*'Calcul Re'!$B$60^3.5*(1000000/MAX(4*O11/(PI()*'Calcul Re'!$B$58*'Calcul Re'!$B$46),100))^0.3)*'Calcul Re'!$B$61*(1-(0.41+0.35*'Calcul Re'!$B$60^4)*$A11/('Calcul Re'!$B$17*'Calcul Re'!$B$35))*PI()*'Calcul Re'!$B$59^2/4*SQRT(2*MAX($A11,0)*'Calcul Re'!$B$45)</f>
        <v>0.0037539223646902</v>
      </c>
      <c r="Q11" s="43" t="n">
        <f aca="false">(0.5961+0.0261*'Calcul Re'!$B$60^2-0.216*'Calcul Re'!$B$60^8+0.000521*(1000000*'Calcul Re'!$B$60/MAX(4*P11/(PI()*'Calcul Re'!$B$58*'Calcul Re'!$B$46),100))^0.7+(0.0188+0.0063*(19000*'Calcul Re'!$B$60/MAX(4*P11/(PI()*'Calcul Re'!$B$58*'Calcul Re'!$B$46),100))^0.8)*'Calcul Re'!$B$60^3.5*(1000000/MAX(4*P11/(PI()*'Calcul Re'!$B$58*'Calcul Re'!$B$46),100))^0.3)*'Calcul Re'!$B$61*(1-(0.41+0.35*'Calcul Re'!$B$60^4)*$A11/('Calcul Re'!$B$17*'Calcul Re'!$B$35))*PI()*'Calcul Re'!$B$59^2/4*SQRT(2*MAX($A11,0)*'Calcul Re'!$B$45)</f>
        <v>0.00375392236465263</v>
      </c>
      <c r="R11" s="43" t="n">
        <f aca="false">(0.5961+0.0261*'Calcul Re'!$B$60^2-0.216*'Calcul Re'!$B$60^8+0.000521*(1000000*'Calcul Re'!$B$60/MAX(4*Q11/(PI()*'Calcul Re'!$B$58*'Calcul Re'!$B$46),100))^0.7+(0.0188+0.0063*(19000*'Calcul Re'!$B$60/MAX(4*Q11/(PI()*'Calcul Re'!$B$58*'Calcul Re'!$B$46),100))^0.8)*'Calcul Re'!$B$60^3.5*(1000000/MAX(4*Q11/(PI()*'Calcul Re'!$B$58*'Calcul Re'!$B$46),100))^0.3)*'Calcul Re'!$B$61*(1-(0.41+0.35*'Calcul Re'!$B$60^4)*$A11/('Calcul Re'!$B$17*'Calcul Re'!$B$35))*PI()*'Calcul Re'!$B$59^2/4*SQRT(2*MAX($A11,0)*'Calcul Re'!$B$45)</f>
        <v>0.00375392236465415</v>
      </c>
    </row>
    <row r="12" customFormat="false" ht="15" hidden="false" customHeight="false" outlineLevel="0" collapsed="false">
      <c r="A12" s="42" t="n">
        <v>10</v>
      </c>
      <c r="B12" s="26" t="n">
        <f aca="false">IF($A12&lt;'Calcul Re'!$B$22,0,PI()*SQRT(2)/4*'Calcul Re'!$C$63*'Calcul Re'!$C$59^2*(1-(0.41+0.35*'Calcul Re'!$C$60^4)/'Calcul Re'!$B$17*($A12/'Calcul Re'!$B$35))*SQRT($A12)*SQRT('Calcul Re'!$B$45)/SQRT(1-'Calcul Re'!$C$60^4))</f>
        <v>0.00133339428790471</v>
      </c>
      <c r="C12" s="32" t="n">
        <f aca="false">4*B12/(PI()*'Calcul Re'!$B$26/1000*'Calcul Re'!$B$46)</f>
        <v>1227.21934723265</v>
      </c>
      <c r="D12" s="32" t="n">
        <f aca="false">B12*'Calcul Re'!$B$52/('Calcul Re'!$B$46*'Calcul Re'!$B$51)</f>
        <v>656.278719283727</v>
      </c>
      <c r="E12" s="26" t="n">
        <f aca="false">IF($A12&lt;'Calcul Re'!$B$22,0,R12)</f>
        <v>0.00431152782813984</v>
      </c>
      <c r="F12" s="32" t="n">
        <f aca="false">4*E12/(PI()*'Calcul Re'!$B$26/1000*'Calcul Re'!$B$46)</f>
        <v>3968.21136465174</v>
      </c>
      <c r="G12" s="32" t="n">
        <f aca="false">E12*'Calcul Re'!$B$52/('Calcul Re'!$B$46*'Calcul Re'!$B$51)</f>
        <v>2122.07595823297</v>
      </c>
      <c r="H12" s="5"/>
      <c r="I12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Re'!$B$60^4)*$A12/('Calcul Re'!$B$17*'Calcul Re'!$B$35))*PI()*'Calcul Re'!$B$59^2/4*SQRT(2*MAX($A12,0)*'Calcul Re'!$B$45)</f>
        <v>0.00411681790391586</v>
      </c>
      <c r="J12" s="43" t="n">
        <f aca="false">(0.5961+0.0261*'Calcul Re'!$B$60^2-0.216*'Calcul Re'!$B$60^8+0.000521*(1000000*'Calcul Re'!$B$60/MAX(4*I12/(PI()*'Calcul Re'!$B$58*'Calcul Re'!$B$46),100))^0.7+(0.0188+0.0063*(19000*'Calcul Re'!$B$60/MAX(4*I12/(PI()*'Calcul Re'!$B$58*'Calcul Re'!$B$46),100))^0.8)*'Calcul Re'!$B$60^3.5*(1000000/MAX(4*I12/(PI()*'Calcul Re'!$B$58*'Calcul Re'!$B$46),100))^0.3)*'Calcul Re'!$B$61*(1-(0.41+0.35*'Calcul Re'!$B$60^4)*$A12/('Calcul Re'!$B$17*'Calcul Re'!$B$35))*PI()*'Calcul Re'!$B$59^2/4*SQRT(2*MAX($A12,0)*'Calcul Re'!$B$45)</f>
        <v>0.00431895277085919</v>
      </c>
      <c r="K12" s="43" t="n">
        <f aca="false">(0.5961+0.0261*'Calcul Re'!$B$60^2-0.216*'Calcul Re'!$B$60^8+0.000521*(1000000*'Calcul Re'!$B$60/MAX(4*J12/(PI()*'Calcul Re'!$B$58*'Calcul Re'!$B$46),100))^0.7+(0.0188+0.0063*(19000*'Calcul Re'!$B$60/MAX(4*J12/(PI()*'Calcul Re'!$B$58*'Calcul Re'!$B$46),100))^0.8)*'Calcul Re'!$B$60^3.5*(1000000/MAX(4*J12/(PI()*'Calcul Re'!$B$58*'Calcul Re'!$B$46),100))^0.3)*'Calcul Re'!$B$61*(1-(0.41+0.35*'Calcul Re'!$B$60^4)*$A12/('Calcul Re'!$B$17*'Calcul Re'!$B$35))*PI()*'Calcul Re'!$B$59^2/4*SQRT(2*MAX($A12,0)*'Calcul Re'!$B$45)</f>
        <v>0.00431125659054341</v>
      </c>
      <c r="L12" s="43" t="n">
        <f aca="false">(0.5961+0.0261*'Calcul Re'!$B$60^2-0.216*'Calcul Re'!$B$60^8+0.000521*(1000000*'Calcul Re'!$B$60/MAX(4*K12/(PI()*'Calcul Re'!$B$58*'Calcul Re'!$B$46),100))^0.7+(0.0188+0.0063*(19000*'Calcul Re'!$B$60/MAX(4*K12/(PI()*'Calcul Re'!$B$58*'Calcul Re'!$B$46),100))^0.8)*'Calcul Re'!$B$60^3.5*(1000000/MAX(4*K12/(PI()*'Calcul Re'!$B$58*'Calcul Re'!$B$46),100))^0.3)*'Calcul Re'!$B$61*(1-(0.41+0.35*'Calcul Re'!$B$60^4)*$A12/('Calcul Re'!$B$17*'Calcul Re'!$B$35))*PI()*'Calcul Re'!$B$59^2/4*SQRT(2*MAX($A12,0)*'Calcul Re'!$B$45)</f>
        <v>0.00431153775245779</v>
      </c>
      <c r="M12" s="43" t="n">
        <f aca="false">(0.5961+0.0261*'Calcul Re'!$B$60^2-0.216*'Calcul Re'!$B$60^8+0.000521*(1000000*'Calcul Re'!$B$60/MAX(4*L12/(PI()*'Calcul Re'!$B$58*'Calcul Re'!$B$46),100))^0.7+(0.0188+0.0063*(19000*'Calcul Re'!$B$60/MAX(4*L12/(PI()*'Calcul Re'!$B$58*'Calcul Re'!$B$46),100))^0.8)*'Calcul Re'!$B$60^3.5*(1000000/MAX(4*L12/(PI()*'Calcul Re'!$B$58*'Calcul Re'!$B$46),100))^0.3)*'Calcul Re'!$B$61*(1-(0.41+0.35*'Calcul Re'!$B$60^4)*$A12/('Calcul Re'!$B$17*'Calcul Re'!$B$35))*PI()*'Calcul Re'!$B$59^2/4*SQRT(2*MAX($A12,0)*'Calcul Re'!$B$45)</f>
        <v>0.00431152746503996</v>
      </c>
      <c r="N12" s="43" t="n">
        <f aca="false">(0.5961+0.0261*'Calcul Re'!$B$60^2-0.216*'Calcul Re'!$B$60^8+0.000521*(1000000*'Calcul Re'!$B$60/MAX(4*M12/(PI()*'Calcul Re'!$B$58*'Calcul Re'!$B$46),100))^0.7+(0.0188+0.0063*(19000*'Calcul Re'!$B$60/MAX(4*M12/(PI()*'Calcul Re'!$B$58*'Calcul Re'!$B$46),100))^0.8)*'Calcul Re'!$B$60^3.5*(1000000/MAX(4*M12/(PI()*'Calcul Re'!$B$58*'Calcul Re'!$B$46),100))^0.3)*'Calcul Re'!$B$61*(1-(0.41+0.35*'Calcul Re'!$B$60^4)*$A12/('Calcul Re'!$B$17*'Calcul Re'!$B$35))*PI()*'Calcul Re'!$B$59^2/4*SQRT(2*MAX($A12,0)*'Calcul Re'!$B$45)</f>
        <v>0.00431152784142454</v>
      </c>
      <c r="O12" s="43" t="n">
        <f aca="false">(0.5961+0.0261*'Calcul Re'!$B$60^2-0.216*'Calcul Re'!$B$60^8+0.000521*(1000000*'Calcul Re'!$B$60/MAX(4*N12/(PI()*'Calcul Re'!$B$58*'Calcul Re'!$B$46),100))^0.7+(0.0188+0.0063*(19000*'Calcul Re'!$B$60/MAX(4*N12/(PI()*'Calcul Re'!$B$58*'Calcul Re'!$B$46),100))^0.8)*'Calcul Re'!$B$60^3.5*(1000000/MAX(4*N12/(PI()*'Calcul Re'!$B$58*'Calcul Re'!$B$46),100))^0.3)*'Calcul Re'!$B$61*(1-(0.41+0.35*'Calcul Re'!$B$60^4)*$A12/('Calcul Re'!$B$17*'Calcul Re'!$B$35))*PI()*'Calcul Re'!$B$59^2/4*SQRT(2*MAX($A12,0)*'Calcul Re'!$B$45)</f>
        <v>0.00431152782765377</v>
      </c>
      <c r="P12" s="43" t="n">
        <f aca="false">(0.5961+0.0261*'Calcul Re'!$B$60^2-0.216*'Calcul Re'!$B$60^8+0.000521*(1000000*'Calcul Re'!$B$60/MAX(4*O12/(PI()*'Calcul Re'!$B$58*'Calcul Re'!$B$46),100))^0.7+(0.0188+0.0063*(19000*'Calcul Re'!$B$60/MAX(4*O12/(PI()*'Calcul Re'!$B$58*'Calcul Re'!$B$46),100))^0.8)*'Calcul Re'!$B$60^3.5*(1000000/MAX(4*O12/(PI()*'Calcul Re'!$B$58*'Calcul Re'!$B$46),100))^0.3)*'Calcul Re'!$B$61*(1-(0.41+0.35*'Calcul Re'!$B$60^4)*$A12/('Calcul Re'!$B$17*'Calcul Re'!$B$35))*PI()*'Calcul Re'!$B$59^2/4*SQRT(2*MAX($A12,0)*'Calcul Re'!$B$45)</f>
        <v>0.0043115278281576</v>
      </c>
      <c r="Q12" s="43" t="n">
        <f aca="false">(0.5961+0.0261*'Calcul Re'!$B$60^2-0.216*'Calcul Re'!$B$60^8+0.000521*(1000000*'Calcul Re'!$B$60/MAX(4*P12/(PI()*'Calcul Re'!$B$58*'Calcul Re'!$B$46),100))^0.7+(0.0188+0.0063*(19000*'Calcul Re'!$B$60/MAX(4*P12/(PI()*'Calcul Re'!$B$58*'Calcul Re'!$B$46),100))^0.8)*'Calcul Re'!$B$60^3.5*(1000000/MAX(4*P12/(PI()*'Calcul Re'!$B$58*'Calcul Re'!$B$46),100))^0.3)*'Calcul Re'!$B$61*(1-(0.41+0.35*'Calcul Re'!$B$60^4)*$A12/('Calcul Re'!$B$17*'Calcul Re'!$B$35))*PI()*'Calcul Re'!$B$59^2/4*SQRT(2*MAX($A12,0)*'Calcul Re'!$B$45)</f>
        <v>0.00431152782813917</v>
      </c>
      <c r="R12" s="43" t="n">
        <f aca="false">(0.5961+0.0261*'Calcul Re'!$B$60^2-0.216*'Calcul Re'!$B$60^8+0.000521*(1000000*'Calcul Re'!$B$60/MAX(4*Q12/(PI()*'Calcul Re'!$B$58*'Calcul Re'!$B$46),100))^0.7+(0.0188+0.0063*(19000*'Calcul Re'!$B$60/MAX(4*Q12/(PI()*'Calcul Re'!$B$58*'Calcul Re'!$B$46),100))^0.8)*'Calcul Re'!$B$60^3.5*(1000000/MAX(4*Q12/(PI()*'Calcul Re'!$B$58*'Calcul Re'!$B$46),100))^0.3)*'Calcul Re'!$B$61*(1-(0.41+0.35*'Calcul Re'!$B$60^4)*$A12/('Calcul Re'!$B$17*'Calcul Re'!$B$35))*PI()*'Calcul Re'!$B$59^2/4*SQRT(2*MAX($A12,0)*'Calcul Re'!$B$45)</f>
        <v>0.00431152782813984</v>
      </c>
    </row>
    <row r="13" customFormat="false" ht="15" hidden="false" customHeight="false" outlineLevel="0" collapsed="false">
      <c r="A13" s="42" t="n">
        <v>15</v>
      </c>
      <c r="B13" s="26" t="n">
        <f aca="false">IF($A13&lt;'Calcul Re'!$B$22,0,PI()*SQRT(2)/4*'Calcul Re'!$C$63*'Calcul Re'!$C$59^2*(1-(0.41+0.35*'Calcul Re'!$C$60^4)/'Calcul Re'!$B$17*($A13/'Calcul Re'!$B$35))*SQRT($A13)*SQRT('Calcul Re'!$B$45)/SQRT(1-'Calcul Re'!$C$60^4))</f>
        <v>0.00163304421465236</v>
      </c>
      <c r="C13" s="32" t="n">
        <f aca="false">4*B13/(PI()*'Calcul Re'!$B$26/1000*'Calcul Re'!$B$46)</f>
        <v>1503.00887988426</v>
      </c>
      <c r="D13" s="32" t="n">
        <f aca="false">B13*'Calcul Re'!$B$52/('Calcul Re'!$B$46*'Calcul Re'!$B$51)</f>
        <v>803.762379550813</v>
      </c>
      <c r="E13" s="26" t="n">
        <f aca="false">IF($A13&lt;'Calcul Re'!$B$22,0,R13)</f>
        <v>0.00524534245598495</v>
      </c>
      <c r="F13" s="32" t="n">
        <f aca="false">4*E13/(PI()*'Calcul Re'!$B$26/1000*'Calcul Re'!$B$46)</f>
        <v>4827.66860728114</v>
      </c>
      <c r="G13" s="32" t="n">
        <f aca="false">E13*'Calcul Re'!$B$52/('Calcul Re'!$B$46*'Calcul Re'!$B$51)</f>
        <v>2581.68694769777</v>
      </c>
      <c r="H13" s="5"/>
      <c r="I13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Re'!$B$60^4)*$A13/('Calcul Re'!$B$17*'Calcul Re'!$B$35))*PI()*'Calcul Re'!$B$59^2/4*SQRT(2*MAX($A13,0)*'Calcul Re'!$B$45)</f>
        <v>0.00504197401454188</v>
      </c>
      <c r="J13" s="43" t="n">
        <f aca="false">(0.5961+0.0261*'Calcul Re'!$B$60^2-0.216*'Calcul Re'!$B$60^8+0.000521*(1000000*'Calcul Re'!$B$60/MAX(4*I13/(PI()*'Calcul Re'!$B$58*'Calcul Re'!$B$46),100))^0.7+(0.0188+0.0063*(19000*'Calcul Re'!$B$60/MAX(4*I13/(PI()*'Calcul Re'!$B$58*'Calcul Re'!$B$46),100))^0.8)*'Calcul Re'!$B$60^3.5*(1000000/MAX(4*I13/(PI()*'Calcul Re'!$B$58*'Calcul Re'!$B$46),100))^0.3)*'Calcul Re'!$B$61*(1-(0.41+0.35*'Calcul Re'!$B$60^4)*$A13/('Calcul Re'!$B$17*'Calcul Re'!$B$35))*PI()*'Calcul Re'!$B$59^2/4*SQRT(2*MAX($A13,0)*'Calcul Re'!$B$45)</f>
        <v>0.00525199455499377</v>
      </c>
      <c r="K13" s="43" t="n">
        <f aca="false">(0.5961+0.0261*'Calcul Re'!$B$60^2-0.216*'Calcul Re'!$B$60^8+0.000521*(1000000*'Calcul Re'!$B$60/MAX(4*J13/(PI()*'Calcul Re'!$B$58*'Calcul Re'!$B$46),100))^0.7+(0.0188+0.0063*(19000*'Calcul Re'!$B$60/MAX(4*J13/(PI()*'Calcul Re'!$B$58*'Calcul Re'!$B$46),100))^0.8)*'Calcul Re'!$B$60^3.5*(1000000/MAX(4*J13/(PI()*'Calcul Re'!$B$58*'Calcul Re'!$B$46),100))^0.3)*'Calcul Re'!$B$61*(1-(0.41+0.35*'Calcul Re'!$B$60^4)*$A13/('Calcul Re'!$B$17*'Calcul Re'!$B$35))*PI()*'Calcul Re'!$B$59^2/4*SQRT(2*MAX($A13,0)*'Calcul Re'!$B$45)</f>
        <v>0.00524513261692366</v>
      </c>
      <c r="L13" s="43" t="n">
        <f aca="false">(0.5961+0.0261*'Calcul Re'!$B$60^2-0.216*'Calcul Re'!$B$60^8+0.000521*(1000000*'Calcul Re'!$B$60/MAX(4*K13/(PI()*'Calcul Re'!$B$58*'Calcul Re'!$B$46),100))^0.7+(0.0188+0.0063*(19000*'Calcul Re'!$B$60/MAX(4*K13/(PI()*'Calcul Re'!$B$58*'Calcul Re'!$B$46),100))^0.8)*'Calcul Re'!$B$60^3.5*(1000000/MAX(4*K13/(PI()*'Calcul Re'!$B$58*'Calcul Re'!$B$46),100))^0.3)*'Calcul Re'!$B$61*(1-(0.41+0.35*'Calcul Re'!$B$60^4)*$A13/('Calcul Re'!$B$17*'Calcul Re'!$B$35))*PI()*'Calcul Re'!$B$59^2/4*SQRT(2*MAX($A13,0)*'Calcul Re'!$B$45)</f>
        <v>0.00524534908300886</v>
      </c>
      <c r="M13" s="43" t="n">
        <f aca="false">(0.5961+0.0261*'Calcul Re'!$B$60^2-0.216*'Calcul Re'!$B$60^8+0.000521*(1000000*'Calcul Re'!$B$60/MAX(4*L13/(PI()*'Calcul Re'!$B$58*'Calcul Re'!$B$46),100))^0.7+(0.0188+0.0063*(19000*'Calcul Re'!$B$60/MAX(4*L13/(PI()*'Calcul Re'!$B$58*'Calcul Re'!$B$46),100))^0.8)*'Calcul Re'!$B$60^3.5*(1000000/MAX(4*L13/(PI()*'Calcul Re'!$B$58*'Calcul Re'!$B$46),100))^0.3)*'Calcul Re'!$B$61*(1-(0.41+0.35*'Calcul Re'!$B$60^4)*$A13/('Calcul Re'!$B$17*'Calcul Re'!$B$35))*PI()*'Calcul Re'!$B$59^2/4*SQRT(2*MAX($A13,0)*'Calcul Re'!$B$45)</f>
        <v>0.00524534224670153</v>
      </c>
      <c r="N13" s="43" t="n">
        <f aca="false">(0.5961+0.0261*'Calcul Re'!$B$60^2-0.216*'Calcul Re'!$B$60^8+0.000521*(1000000*'Calcul Re'!$B$60/MAX(4*M13/(PI()*'Calcul Re'!$B$58*'Calcul Re'!$B$46),100))^0.7+(0.0188+0.0063*(19000*'Calcul Re'!$B$60/MAX(4*M13/(PI()*'Calcul Re'!$B$58*'Calcul Re'!$B$46),100))^0.8)*'Calcul Re'!$B$60^3.5*(1000000/MAX(4*M13/(PI()*'Calcul Re'!$B$58*'Calcul Re'!$B$46),100))^0.3)*'Calcul Re'!$B$61*(1-(0.41+0.35*'Calcul Re'!$B$60^4)*$A13/('Calcul Re'!$B$17*'Calcul Re'!$B$35))*PI()*'Calcul Re'!$B$59^2/4*SQRT(2*MAX($A13,0)*'Calcul Re'!$B$45)</f>
        <v>0.00524534246259418</v>
      </c>
      <c r="O13" s="43" t="n">
        <f aca="false">(0.5961+0.0261*'Calcul Re'!$B$60^2-0.216*'Calcul Re'!$B$60^8+0.000521*(1000000*'Calcul Re'!$B$60/MAX(4*N13/(PI()*'Calcul Re'!$B$58*'Calcul Re'!$B$46),100))^0.7+(0.0188+0.0063*(19000*'Calcul Re'!$B$60/MAX(4*N13/(PI()*'Calcul Re'!$B$58*'Calcul Re'!$B$46),100))^0.8)*'Calcul Re'!$B$60^3.5*(1000000/MAX(4*N13/(PI()*'Calcul Re'!$B$58*'Calcul Re'!$B$46),100))^0.3)*'Calcul Re'!$B$61*(1-(0.41+0.35*'Calcul Re'!$B$60^4)*$A13/('Calcul Re'!$B$17*'Calcul Re'!$B$35))*PI()*'Calcul Re'!$B$59^2/4*SQRT(2*MAX($A13,0)*'Calcul Re'!$B$45)</f>
        <v>0.00524534245577622</v>
      </c>
      <c r="P13" s="43" t="n">
        <f aca="false">(0.5961+0.0261*'Calcul Re'!$B$60^2-0.216*'Calcul Re'!$B$60^8+0.000521*(1000000*'Calcul Re'!$B$60/MAX(4*O13/(PI()*'Calcul Re'!$B$58*'Calcul Re'!$B$46),100))^0.7+(0.0188+0.0063*(19000*'Calcul Re'!$B$60/MAX(4*O13/(PI()*'Calcul Re'!$B$58*'Calcul Re'!$B$46),100))^0.8)*'Calcul Re'!$B$60^3.5*(1000000/MAX(4*O13/(PI()*'Calcul Re'!$B$58*'Calcul Re'!$B$46),100))^0.3)*'Calcul Re'!$B$61*(1-(0.41+0.35*'Calcul Re'!$B$60^4)*$A13/('Calcul Re'!$B$17*'Calcul Re'!$B$35))*PI()*'Calcul Re'!$B$59^2/4*SQRT(2*MAX($A13,0)*'Calcul Re'!$B$45)</f>
        <v>0.00524534245599153</v>
      </c>
      <c r="Q13" s="43" t="n">
        <f aca="false">(0.5961+0.0261*'Calcul Re'!$B$60^2-0.216*'Calcul Re'!$B$60^8+0.000521*(1000000*'Calcul Re'!$B$60/MAX(4*P13/(PI()*'Calcul Re'!$B$58*'Calcul Re'!$B$46),100))^0.7+(0.0188+0.0063*(19000*'Calcul Re'!$B$60/MAX(4*P13/(PI()*'Calcul Re'!$B$58*'Calcul Re'!$B$46),100))^0.8)*'Calcul Re'!$B$60^3.5*(1000000/MAX(4*P13/(PI()*'Calcul Re'!$B$58*'Calcul Re'!$B$46),100))^0.3)*'Calcul Re'!$B$61*(1-(0.41+0.35*'Calcul Re'!$B$60^4)*$A13/('Calcul Re'!$B$17*'Calcul Re'!$B$35))*PI()*'Calcul Re'!$B$59^2/4*SQRT(2*MAX($A13,0)*'Calcul Re'!$B$45)</f>
        <v>0.00524534245598473</v>
      </c>
      <c r="R13" s="43" t="n">
        <f aca="false">(0.5961+0.0261*'Calcul Re'!$B$60^2-0.216*'Calcul Re'!$B$60^8+0.000521*(1000000*'Calcul Re'!$B$60/MAX(4*Q13/(PI()*'Calcul Re'!$B$58*'Calcul Re'!$B$46),100))^0.7+(0.0188+0.0063*(19000*'Calcul Re'!$B$60/MAX(4*Q13/(PI()*'Calcul Re'!$B$58*'Calcul Re'!$B$46),100))^0.8)*'Calcul Re'!$B$60^3.5*(1000000/MAX(4*Q13/(PI()*'Calcul Re'!$B$58*'Calcul Re'!$B$46),100))^0.3)*'Calcul Re'!$B$61*(1-(0.41+0.35*'Calcul Re'!$B$60^4)*$A13/('Calcul Re'!$B$17*'Calcul Re'!$B$35))*PI()*'Calcul Re'!$B$59^2/4*SQRT(2*MAX($A13,0)*'Calcul Re'!$B$45)</f>
        <v>0.00524534245598495</v>
      </c>
    </row>
    <row r="14" customFormat="false" ht="15" hidden="false" customHeight="false" outlineLevel="0" collapsed="false">
      <c r="A14" s="42" t="n">
        <v>20</v>
      </c>
      <c r="B14" s="26" t="n">
        <f aca="false">IF($A14&lt;'Calcul Re'!$B$22,0,PI()*SQRT(2)/4*'Calcul Re'!$C$63*'Calcul Re'!$C$59^2*(1-(0.41+0.35*'Calcul Re'!$C$60^4)/'Calcul Re'!$B$17*($A14/'Calcul Re'!$B$35))*SQRT($A14)*SQRT('Calcul Re'!$B$45)/SQRT(1-'Calcul Re'!$C$60^4))</f>
        <v>0.00188564978176675</v>
      </c>
      <c r="C14" s="32" t="n">
        <f aca="false">4*B14/(PI()*'Calcul Re'!$B$26/1000*'Calcul Re'!$B$46)</f>
        <v>1735.50008071923</v>
      </c>
      <c r="D14" s="32" t="n">
        <f aca="false">B14*'Calcul Re'!$B$52/('Calcul Re'!$B$46*'Calcul Re'!$B$51)</f>
        <v>928.091439284732</v>
      </c>
      <c r="E14" s="26" t="n">
        <f aca="false">IF($A14&lt;'Calcul Re'!$B$22,0,R14)</f>
        <v>0.00603139017594757</v>
      </c>
      <c r="F14" s="32" t="n">
        <f aca="false">4*E14/(PI()*'Calcul Re'!$B$26/1000*'Calcul Re'!$B$46)</f>
        <v>5551.12526112813</v>
      </c>
      <c r="G14" s="32" t="n">
        <f aca="false">E14*'Calcul Re'!$B$52/('Calcul Re'!$B$46*'Calcul Re'!$B$51)</f>
        <v>2968.56905423776</v>
      </c>
      <c r="H14" s="5"/>
      <c r="I14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Re'!$B$60^4)*$A14/('Calcul Re'!$B$17*'Calcul Re'!$B$35))*PI()*'Calcul Re'!$B$59^2/4*SQRT(2*MAX($A14,0)*'Calcul Re'!$B$45)</f>
        <v>0.00582188050463321</v>
      </c>
      <c r="J14" s="43" t="n">
        <f aca="false">(0.5961+0.0261*'Calcul Re'!$B$60^2-0.216*'Calcul Re'!$B$60^8+0.000521*(1000000*'Calcul Re'!$B$60/MAX(4*I14/(PI()*'Calcul Re'!$B$58*'Calcul Re'!$B$46),100))^0.7+(0.0188+0.0063*(19000*'Calcul Re'!$B$60/MAX(4*I14/(PI()*'Calcul Re'!$B$58*'Calcul Re'!$B$46),100))^0.8)*'Calcul Re'!$B$60^3.5*(1000000/MAX(4*I14/(PI()*'Calcul Re'!$B$58*'Calcul Re'!$B$46),100))^0.3)*'Calcul Re'!$B$61*(1-(0.41+0.35*'Calcul Re'!$B$60^4)*$A14/('Calcul Re'!$B$17*'Calcul Re'!$B$35))*PI()*'Calcul Re'!$B$59^2/4*SQRT(2*MAX($A14,0)*'Calcul Re'!$B$45)</f>
        <v>0.00603754452470974</v>
      </c>
      <c r="K14" s="43" t="n">
        <f aca="false">(0.5961+0.0261*'Calcul Re'!$B$60^2-0.216*'Calcul Re'!$B$60^8+0.000521*(1000000*'Calcul Re'!$B$60/MAX(4*J14/(PI()*'Calcul Re'!$B$58*'Calcul Re'!$B$46),100))^0.7+(0.0188+0.0063*(19000*'Calcul Re'!$B$60/MAX(4*J14/(PI()*'Calcul Re'!$B$58*'Calcul Re'!$B$46),100))^0.8)*'Calcul Re'!$B$60^3.5*(1000000/MAX(4*J14/(PI()*'Calcul Re'!$B$58*'Calcul Re'!$B$46),100))^0.3)*'Calcul Re'!$B$61*(1-(0.41+0.35*'Calcul Re'!$B$60^4)*$A14/('Calcul Re'!$B$17*'Calcul Re'!$B$35))*PI()*'Calcul Re'!$B$59^2/4*SQRT(2*MAX($A14,0)*'Calcul Re'!$B$45)</f>
        <v>0.00603121510752763</v>
      </c>
      <c r="L14" s="43" t="n">
        <f aca="false">(0.5961+0.0261*'Calcul Re'!$B$60^2-0.216*'Calcul Re'!$B$60^8+0.000521*(1000000*'Calcul Re'!$B$60/MAX(4*K14/(PI()*'Calcul Re'!$B$58*'Calcul Re'!$B$46),100))^0.7+(0.0188+0.0063*(19000*'Calcul Re'!$B$60/MAX(4*K14/(PI()*'Calcul Re'!$B$58*'Calcul Re'!$B$46),100))^0.8)*'Calcul Re'!$B$60^3.5*(1000000/MAX(4*K14/(PI()*'Calcul Re'!$B$58*'Calcul Re'!$B$46),100))^0.3)*'Calcul Re'!$B$61*(1-(0.41+0.35*'Calcul Re'!$B$60^4)*$A14/('Calcul Re'!$B$17*'Calcul Re'!$B$35))*PI()*'Calcul Re'!$B$59^2/4*SQRT(2*MAX($A14,0)*'Calcul Re'!$B$45)</f>
        <v>0.00603139516061197</v>
      </c>
      <c r="M14" s="43" t="n">
        <f aca="false">(0.5961+0.0261*'Calcul Re'!$B$60^2-0.216*'Calcul Re'!$B$60^8+0.000521*(1000000*'Calcul Re'!$B$60/MAX(4*L14/(PI()*'Calcul Re'!$B$58*'Calcul Re'!$B$46),100))^0.7+(0.0188+0.0063*(19000*'Calcul Re'!$B$60/MAX(4*L14/(PI()*'Calcul Re'!$B$58*'Calcul Re'!$B$46),100))^0.8)*'Calcul Re'!$B$60^3.5*(1000000/MAX(4*L14/(PI()*'Calcul Re'!$B$58*'Calcul Re'!$B$46),100))^0.3)*'Calcul Re'!$B$61*(1-(0.41+0.35*'Calcul Re'!$B$60^4)*$A14/('Calcul Re'!$B$17*'Calcul Re'!$B$35))*PI()*'Calcul Re'!$B$59^2/4*SQRT(2*MAX($A14,0)*'Calcul Re'!$B$45)</f>
        <v>0.00603139003402463</v>
      </c>
      <c r="N14" s="43" t="n">
        <f aca="false">(0.5961+0.0261*'Calcul Re'!$B$60^2-0.216*'Calcul Re'!$B$60^8+0.000521*(1000000*'Calcul Re'!$B$60/MAX(4*M14/(PI()*'Calcul Re'!$B$58*'Calcul Re'!$B$46),100))^0.7+(0.0188+0.0063*(19000*'Calcul Re'!$B$60/MAX(4*M14/(PI()*'Calcul Re'!$B$58*'Calcul Re'!$B$46),100))^0.8)*'Calcul Re'!$B$60^3.5*(1000000/MAX(4*M14/(PI()*'Calcul Re'!$B$58*'Calcul Re'!$B$46),100))^0.3)*'Calcul Re'!$B$61*(1-(0.41+0.35*'Calcul Re'!$B$60^4)*$A14/('Calcul Re'!$B$17*'Calcul Re'!$B$35))*PI()*'Calcul Re'!$B$59^2/4*SQRT(2*MAX($A14,0)*'Calcul Re'!$B$45)</f>
        <v>0.00603139017998839</v>
      </c>
      <c r="O14" s="43" t="n">
        <f aca="false">(0.5961+0.0261*'Calcul Re'!$B$60^2-0.216*'Calcul Re'!$B$60^8+0.000521*(1000000*'Calcul Re'!$B$60/MAX(4*N14/(PI()*'Calcul Re'!$B$58*'Calcul Re'!$B$46),100))^0.7+(0.0188+0.0063*(19000*'Calcul Re'!$B$60/MAX(4*N14/(PI()*'Calcul Re'!$B$58*'Calcul Re'!$B$46),100))^0.8)*'Calcul Re'!$B$60^3.5*(1000000/MAX(4*N14/(PI()*'Calcul Re'!$B$58*'Calcul Re'!$B$46),100))^0.3)*'Calcul Re'!$B$61*(1-(0.41+0.35*'Calcul Re'!$B$60^4)*$A14/('Calcul Re'!$B$17*'Calcul Re'!$B$35))*PI()*'Calcul Re'!$B$59^2/4*SQRT(2*MAX($A14,0)*'Calcul Re'!$B$45)</f>
        <v>0.00603139017583251</v>
      </c>
      <c r="P14" s="43" t="n">
        <f aca="false">(0.5961+0.0261*'Calcul Re'!$B$60^2-0.216*'Calcul Re'!$B$60^8+0.000521*(1000000*'Calcul Re'!$B$60/MAX(4*O14/(PI()*'Calcul Re'!$B$58*'Calcul Re'!$B$46),100))^0.7+(0.0188+0.0063*(19000*'Calcul Re'!$B$60/MAX(4*O14/(PI()*'Calcul Re'!$B$58*'Calcul Re'!$B$46),100))^0.8)*'Calcul Re'!$B$60^3.5*(1000000/MAX(4*O14/(PI()*'Calcul Re'!$B$58*'Calcul Re'!$B$46),100))^0.3)*'Calcul Re'!$B$61*(1-(0.41+0.35*'Calcul Re'!$B$60^4)*$A14/('Calcul Re'!$B$17*'Calcul Re'!$B$35))*PI()*'Calcul Re'!$B$59^2/4*SQRT(2*MAX($A14,0)*'Calcul Re'!$B$45)</f>
        <v>0.00603139017595084</v>
      </c>
      <c r="Q14" s="43" t="n">
        <f aca="false">(0.5961+0.0261*'Calcul Re'!$B$60^2-0.216*'Calcul Re'!$B$60^8+0.000521*(1000000*'Calcul Re'!$B$60/MAX(4*P14/(PI()*'Calcul Re'!$B$58*'Calcul Re'!$B$46),100))^0.7+(0.0188+0.0063*(19000*'Calcul Re'!$B$60/MAX(4*P14/(PI()*'Calcul Re'!$B$58*'Calcul Re'!$B$46),100))^0.8)*'Calcul Re'!$B$60^3.5*(1000000/MAX(4*P14/(PI()*'Calcul Re'!$B$58*'Calcul Re'!$B$46),100))^0.3)*'Calcul Re'!$B$61*(1-(0.41+0.35*'Calcul Re'!$B$60^4)*$A14/('Calcul Re'!$B$17*'Calcul Re'!$B$35))*PI()*'Calcul Re'!$B$59^2/4*SQRT(2*MAX($A14,0)*'Calcul Re'!$B$45)</f>
        <v>0.00603139017594747</v>
      </c>
      <c r="R14" s="43" t="n">
        <f aca="false">(0.5961+0.0261*'Calcul Re'!$B$60^2-0.216*'Calcul Re'!$B$60^8+0.000521*(1000000*'Calcul Re'!$B$60/MAX(4*Q14/(PI()*'Calcul Re'!$B$58*'Calcul Re'!$B$46),100))^0.7+(0.0188+0.0063*(19000*'Calcul Re'!$B$60/MAX(4*Q14/(PI()*'Calcul Re'!$B$58*'Calcul Re'!$B$46),100))^0.8)*'Calcul Re'!$B$60^3.5*(1000000/MAX(4*Q14/(PI()*'Calcul Re'!$B$58*'Calcul Re'!$B$46),100))^0.3)*'Calcul Re'!$B$61*(1-(0.41+0.35*'Calcul Re'!$B$60^4)*$A14/('Calcul Re'!$B$17*'Calcul Re'!$B$35))*PI()*'Calcul Re'!$B$59^2/4*SQRT(2*MAX($A14,0)*'Calcul Re'!$B$45)</f>
        <v>0.00603139017594757</v>
      </c>
    </row>
    <row r="15" customFormat="false" ht="15" hidden="false" customHeight="false" outlineLevel="0" collapsed="false">
      <c r="A15" s="42" t="n">
        <v>30</v>
      </c>
      <c r="B15" s="26" t="n">
        <f aca="false">IF($A15&lt;'Calcul Re'!$B$22,0,PI()*SQRT(2)/4*'Calcul Re'!$C$63*'Calcul Re'!$C$59^2*(1-(0.41+0.35*'Calcul Re'!$C$60^4)/'Calcul Re'!$B$17*($A15/'Calcul Re'!$B$35))*SQRT($A15)*SQRT('Calcul Re'!$B$45)/SQRT(1-'Calcul Re'!$C$60^4))</f>
        <v>0.00230937314574592</v>
      </c>
      <c r="C15" s="32" t="n">
        <f aca="false">4*B15/(PI()*'Calcul Re'!$B$26/1000*'Calcul Re'!$B$46)</f>
        <v>2125.48338488267</v>
      </c>
      <c r="D15" s="32" t="n">
        <f aca="false">B15*'Calcul Re'!$B$52/('Calcul Re'!$B$46*'Calcul Re'!$B$51)</f>
        <v>1136.64237516718</v>
      </c>
      <c r="E15" s="26" t="n">
        <f aca="false">IF($A15&lt;'Calcul Re'!$B$22,0,R15)</f>
        <v>0.00734812941908353</v>
      </c>
      <c r="F15" s="32" t="n">
        <f aca="false">4*E15/(PI()*'Calcul Re'!$B$26/1000*'Calcul Re'!$B$46)</f>
        <v>6763.0157642562</v>
      </c>
      <c r="G15" s="32" t="n">
        <f aca="false">E15*'Calcul Re'!$B$52/('Calcul Re'!$B$46*'Calcul Re'!$B$51)</f>
        <v>3616.65038468489</v>
      </c>
      <c r="H15" s="5"/>
      <c r="I15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Re'!$B$60^4)*$A15/('Calcul Re'!$B$17*'Calcul Re'!$B$35))*PI()*'Calcul Re'!$B$59^2/4*SQRT(2*MAX($A15,0)*'Calcul Re'!$B$45)</f>
        <v>0.00713009880471693</v>
      </c>
      <c r="J15" s="43" t="n">
        <f aca="false">(0.5961+0.0261*'Calcul Re'!$B$60^2-0.216*'Calcul Re'!$B$60^8+0.000521*(1000000*'Calcul Re'!$B$60/MAX(4*I15/(PI()*'Calcul Re'!$B$58*'Calcul Re'!$B$46),100))^0.7+(0.0188+0.0063*(19000*'Calcul Re'!$B$60/MAX(4*I15/(PI()*'Calcul Re'!$B$58*'Calcul Re'!$B$46),100))^0.8)*'Calcul Re'!$B$60^3.5*(1000000/MAX(4*I15/(PI()*'Calcul Re'!$B$58*'Calcul Re'!$B$46),100))^0.3)*'Calcul Re'!$B$61*(1-(0.41+0.35*'Calcul Re'!$B$60^4)*$A15/('Calcul Re'!$B$17*'Calcul Re'!$B$35))*PI()*'Calcul Re'!$B$59^2/4*SQRT(2*MAX($A15,0)*'Calcul Re'!$B$45)</f>
        <v>0.00735364449646339</v>
      </c>
      <c r="K15" s="43" t="n">
        <f aca="false">(0.5961+0.0261*'Calcul Re'!$B$60^2-0.216*'Calcul Re'!$B$60^8+0.000521*(1000000*'Calcul Re'!$B$60/MAX(4*J15/(PI()*'Calcul Re'!$B$58*'Calcul Re'!$B$46),100))^0.7+(0.0188+0.0063*(19000*'Calcul Re'!$B$60/MAX(4*J15/(PI()*'Calcul Re'!$B$58*'Calcul Re'!$B$46),100))^0.8)*'Calcul Re'!$B$60^3.5*(1000000/MAX(4*J15/(PI()*'Calcul Re'!$B$58*'Calcul Re'!$B$46),100))^0.3)*'Calcul Re'!$B$61*(1-(0.41+0.35*'Calcul Re'!$B$60^4)*$A15/('Calcul Re'!$B$17*'Calcul Re'!$B$35))*PI()*'Calcul Re'!$B$59^2/4*SQRT(2*MAX($A15,0)*'Calcul Re'!$B$45)</f>
        <v>0.0073479936360823</v>
      </c>
      <c r="L15" s="43" t="n">
        <f aca="false">(0.5961+0.0261*'Calcul Re'!$B$60^2-0.216*'Calcul Re'!$B$60^8+0.000521*(1000000*'Calcul Re'!$B$60/MAX(4*K15/(PI()*'Calcul Re'!$B$58*'Calcul Re'!$B$46),100))^0.7+(0.0188+0.0063*(19000*'Calcul Re'!$B$60/MAX(4*K15/(PI()*'Calcul Re'!$B$58*'Calcul Re'!$B$46),100))^0.8)*'Calcul Re'!$B$60^3.5*(1000000/MAX(4*K15/(PI()*'Calcul Re'!$B$58*'Calcul Re'!$B$46),100))^0.3)*'Calcul Re'!$B$61*(1-(0.41+0.35*'Calcul Re'!$B$60^4)*$A15/('Calcul Re'!$B$17*'Calcul Re'!$B$35))*PI()*'Calcul Re'!$B$59^2/4*SQRT(2*MAX($A15,0)*'Calcul Re'!$B$45)</f>
        <v>0.00734813276435683</v>
      </c>
      <c r="M15" s="43" t="n">
        <f aca="false">(0.5961+0.0261*'Calcul Re'!$B$60^2-0.216*'Calcul Re'!$B$60^8+0.000521*(1000000*'Calcul Re'!$B$60/MAX(4*L15/(PI()*'Calcul Re'!$B$58*'Calcul Re'!$B$46),100))^0.7+(0.0188+0.0063*(19000*'Calcul Re'!$B$60/MAX(4*L15/(PI()*'Calcul Re'!$B$58*'Calcul Re'!$B$46),100))^0.8)*'Calcul Re'!$B$60^3.5*(1000000/MAX(4*L15/(PI()*'Calcul Re'!$B$58*'Calcul Re'!$B$46),100))^0.3)*'Calcul Re'!$B$61*(1-(0.41+0.35*'Calcul Re'!$B$60^4)*$A15/('Calcul Re'!$B$17*'Calcul Re'!$B$35))*PI()*'Calcul Re'!$B$59^2/4*SQRT(2*MAX($A15,0)*'Calcul Re'!$B$45)</f>
        <v>0.00734812933666771</v>
      </c>
      <c r="N15" s="43" t="n">
        <f aca="false">(0.5961+0.0261*'Calcul Re'!$B$60^2-0.216*'Calcul Re'!$B$60^8+0.000521*(1000000*'Calcul Re'!$B$60/MAX(4*M15/(PI()*'Calcul Re'!$B$58*'Calcul Re'!$B$46),100))^0.7+(0.0188+0.0063*(19000*'Calcul Re'!$B$60/MAX(4*M15/(PI()*'Calcul Re'!$B$58*'Calcul Re'!$B$46),100))^0.8)*'Calcul Re'!$B$60^3.5*(1000000/MAX(4*M15/(PI()*'Calcul Re'!$B$58*'Calcul Re'!$B$46),100))^0.3)*'Calcul Re'!$B$61*(1-(0.41+0.35*'Calcul Re'!$B$60^4)*$A15/('Calcul Re'!$B$17*'Calcul Re'!$B$35))*PI()*'Calcul Re'!$B$59^2/4*SQRT(2*MAX($A15,0)*'Calcul Re'!$B$45)</f>
        <v>0.00734812942111397</v>
      </c>
      <c r="O15" s="43" t="n">
        <f aca="false">(0.5961+0.0261*'Calcul Re'!$B$60^2-0.216*'Calcul Re'!$B$60^8+0.000521*(1000000*'Calcul Re'!$B$60/MAX(4*N15/(PI()*'Calcul Re'!$B$58*'Calcul Re'!$B$46),100))^0.7+(0.0188+0.0063*(19000*'Calcul Re'!$B$60/MAX(4*N15/(PI()*'Calcul Re'!$B$58*'Calcul Re'!$B$46),100))^0.8)*'Calcul Re'!$B$60^3.5*(1000000/MAX(4*N15/(PI()*'Calcul Re'!$B$58*'Calcul Re'!$B$46),100))^0.3)*'Calcul Re'!$B$61*(1-(0.41+0.35*'Calcul Re'!$B$60^4)*$A15/('Calcul Re'!$B$17*'Calcul Re'!$B$35))*PI()*'Calcul Re'!$B$59^2/4*SQRT(2*MAX($A15,0)*'Calcul Re'!$B$45)</f>
        <v>0.00734812941903351</v>
      </c>
      <c r="P15" s="43" t="n">
        <f aca="false">(0.5961+0.0261*'Calcul Re'!$B$60^2-0.216*'Calcul Re'!$B$60^8+0.000521*(1000000*'Calcul Re'!$B$60/MAX(4*O15/(PI()*'Calcul Re'!$B$58*'Calcul Re'!$B$46),100))^0.7+(0.0188+0.0063*(19000*'Calcul Re'!$B$60/MAX(4*O15/(PI()*'Calcul Re'!$B$58*'Calcul Re'!$B$46),100))^0.8)*'Calcul Re'!$B$60^3.5*(1000000/MAX(4*O15/(PI()*'Calcul Re'!$B$58*'Calcul Re'!$B$46),100))^0.3)*'Calcul Re'!$B$61*(1-(0.41+0.35*'Calcul Re'!$B$60^4)*$A15/('Calcul Re'!$B$17*'Calcul Re'!$B$35))*PI()*'Calcul Re'!$B$59^2/4*SQRT(2*MAX($A15,0)*'Calcul Re'!$B$45)</f>
        <v>0.00734812941908476</v>
      </c>
      <c r="Q15" s="43" t="n">
        <f aca="false">(0.5961+0.0261*'Calcul Re'!$B$60^2-0.216*'Calcul Re'!$B$60^8+0.000521*(1000000*'Calcul Re'!$B$60/MAX(4*P15/(PI()*'Calcul Re'!$B$58*'Calcul Re'!$B$46),100))^0.7+(0.0188+0.0063*(19000*'Calcul Re'!$B$60/MAX(4*P15/(PI()*'Calcul Re'!$B$58*'Calcul Re'!$B$46),100))^0.8)*'Calcul Re'!$B$60^3.5*(1000000/MAX(4*P15/(PI()*'Calcul Re'!$B$58*'Calcul Re'!$B$46),100))^0.3)*'Calcul Re'!$B$61*(1-(0.41+0.35*'Calcul Re'!$B$60^4)*$A15/('Calcul Re'!$B$17*'Calcul Re'!$B$35))*PI()*'Calcul Re'!$B$59^2/4*SQRT(2*MAX($A15,0)*'Calcul Re'!$B$45)</f>
        <v>0.0073481294190835</v>
      </c>
      <c r="R15" s="43" t="n">
        <f aca="false">(0.5961+0.0261*'Calcul Re'!$B$60^2-0.216*'Calcul Re'!$B$60^8+0.000521*(1000000*'Calcul Re'!$B$60/MAX(4*Q15/(PI()*'Calcul Re'!$B$58*'Calcul Re'!$B$46),100))^0.7+(0.0188+0.0063*(19000*'Calcul Re'!$B$60/MAX(4*Q15/(PI()*'Calcul Re'!$B$58*'Calcul Re'!$B$46),100))^0.8)*'Calcul Re'!$B$60^3.5*(1000000/MAX(4*Q15/(PI()*'Calcul Re'!$B$58*'Calcul Re'!$B$46),100))^0.3)*'Calcul Re'!$B$61*(1-(0.41+0.35*'Calcul Re'!$B$60^4)*$A15/('Calcul Re'!$B$17*'Calcul Re'!$B$35))*PI()*'Calcul Re'!$B$59^2/4*SQRT(2*MAX($A15,0)*'Calcul Re'!$B$45)</f>
        <v>0.00734812941908353</v>
      </c>
    </row>
    <row r="16" customFormat="false" ht="15" hidden="false" customHeight="false" outlineLevel="0" collapsed="false">
      <c r="A16" s="42" t="n">
        <v>50</v>
      </c>
      <c r="B16" s="26" t="n">
        <f aca="false">IF($A16&lt;'Calcul Re'!$B$22,0,PI()*SQRT(2)/4*'Calcul Re'!$C$63*'Calcul Re'!$C$59^2*(1-(0.41+0.35*'Calcul Re'!$C$60^4)/'Calcul Re'!$B$17*($A16/'Calcul Re'!$B$35))*SQRT($A16)*SQRT('Calcul Re'!$B$45)/SQRT(1-'Calcul Re'!$C$60^4))</f>
        <v>0.00298121555387019</v>
      </c>
      <c r="C16" s="32" t="n">
        <f aca="false">4*B16/(PI()*'Calcul Re'!$B$26/1000*'Calcul Re'!$B$46)</f>
        <v>2743.8286178123</v>
      </c>
      <c r="D16" s="32" t="n">
        <f aca="false">B16*'Calcul Re'!$B$52/('Calcul Re'!$B$46*'Calcul Re'!$B$51)</f>
        <v>1467.3141645725</v>
      </c>
      <c r="E16" s="26" t="n">
        <f aca="false">IF($A16&lt;'Calcul Re'!$B$22,0,R16)</f>
        <v>0.00943256040838657</v>
      </c>
      <c r="F16" s="32" t="n">
        <f aca="false">4*E16/(PI()*'Calcul Re'!$B$26/1000*'Calcul Re'!$B$46)</f>
        <v>8681.46858893696</v>
      </c>
      <c r="G16" s="32" t="n">
        <f aca="false">E16*'Calcul Re'!$B$52/('Calcul Re'!$B$46*'Calcul Re'!$B$51)</f>
        <v>4642.57925846515</v>
      </c>
      <c r="H16" s="5"/>
      <c r="I16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Re'!$B$60^4)*$A16/('Calcul Re'!$B$17*'Calcul Re'!$B$35))*PI()*'Calcul Re'!$B$59^2/4*SQRT(2*MAX($A16,0)*'Calcul Re'!$B$45)</f>
        <v>0.00920435126751066</v>
      </c>
      <c r="J16" s="43" t="n">
        <f aca="false">(0.5961+0.0261*'Calcul Re'!$B$60^2-0.216*'Calcul Re'!$B$60^8+0.000521*(1000000*'Calcul Re'!$B$60/MAX(4*I16/(PI()*'Calcul Re'!$B$58*'Calcul Re'!$B$46),100))^0.7+(0.0188+0.0063*(19000*'Calcul Re'!$B$60/MAX(4*I16/(PI()*'Calcul Re'!$B$58*'Calcul Re'!$B$46),100))^0.8)*'Calcul Re'!$B$60^3.5*(1000000/MAX(4*I16/(PI()*'Calcul Re'!$B$58*'Calcul Re'!$B$46),100))^0.3)*'Calcul Re'!$B$61*(1-(0.41+0.35*'Calcul Re'!$B$60^4)*$A16/('Calcul Re'!$B$17*'Calcul Re'!$B$35))*PI()*'Calcul Re'!$B$59^2/4*SQRT(2*MAX($A16,0)*'Calcul Re'!$B$45)</f>
        <v>0.0094373587476779</v>
      </c>
      <c r="K16" s="43" t="n">
        <f aca="false">(0.5961+0.0261*'Calcul Re'!$B$60^2-0.216*'Calcul Re'!$B$60^8+0.000521*(1000000*'Calcul Re'!$B$60/MAX(4*J16/(PI()*'Calcul Re'!$B$58*'Calcul Re'!$B$46),100))^0.7+(0.0188+0.0063*(19000*'Calcul Re'!$B$60/MAX(4*J16/(PI()*'Calcul Re'!$B$58*'Calcul Re'!$B$46),100))^0.8)*'Calcul Re'!$B$60^3.5*(1000000/MAX(4*J16/(PI()*'Calcul Re'!$B$58*'Calcul Re'!$B$46),100))^0.3)*'Calcul Re'!$B$61*(1-(0.41+0.35*'Calcul Re'!$B$60^4)*$A16/('Calcul Re'!$B$17*'Calcul Re'!$B$35))*PI()*'Calcul Re'!$B$59^2/4*SQRT(2*MAX($A16,0)*'Calcul Re'!$B$45)</f>
        <v>0.00943246167911297</v>
      </c>
      <c r="L16" s="43" t="n">
        <f aca="false">(0.5961+0.0261*'Calcul Re'!$B$60^2-0.216*'Calcul Re'!$B$60^8+0.000521*(1000000*'Calcul Re'!$B$60/MAX(4*K16/(PI()*'Calcul Re'!$B$58*'Calcul Re'!$B$46),100))^0.7+(0.0188+0.0063*(19000*'Calcul Re'!$B$60/MAX(4*K16/(PI()*'Calcul Re'!$B$58*'Calcul Re'!$B$46),100))^0.8)*'Calcul Re'!$B$60^3.5*(1000000/MAX(4*K16/(PI()*'Calcul Re'!$B$58*'Calcul Re'!$B$46),100))^0.3)*'Calcul Re'!$B$61*(1-(0.41+0.35*'Calcul Re'!$B$60^4)*$A16/('Calcul Re'!$B$17*'Calcul Re'!$B$35))*PI()*'Calcul Re'!$B$59^2/4*SQRT(2*MAX($A16,0)*'Calcul Re'!$B$45)</f>
        <v>0.00943256244072573</v>
      </c>
      <c r="M16" s="43" t="n">
        <f aca="false">(0.5961+0.0261*'Calcul Re'!$B$60^2-0.216*'Calcul Re'!$B$60^8+0.000521*(1000000*'Calcul Re'!$B$60/MAX(4*L16/(PI()*'Calcul Re'!$B$58*'Calcul Re'!$B$46),100))^0.7+(0.0188+0.0063*(19000*'Calcul Re'!$B$60/MAX(4*L16/(PI()*'Calcul Re'!$B$58*'Calcul Re'!$B$46),100))^0.8)*'Calcul Re'!$B$60^3.5*(1000000/MAX(4*L16/(PI()*'Calcul Re'!$B$58*'Calcul Re'!$B$46),100))^0.3)*'Calcul Re'!$B$61*(1-(0.41+0.35*'Calcul Re'!$B$60^4)*$A16/('Calcul Re'!$B$17*'Calcul Re'!$B$35))*PI()*'Calcul Re'!$B$59^2/4*SQRT(2*MAX($A16,0)*'Calcul Re'!$B$45)</f>
        <v>0.00943256036655132</v>
      </c>
      <c r="N16" s="43" t="n">
        <f aca="false">(0.5961+0.0261*'Calcul Re'!$B$60^2-0.216*'Calcul Re'!$B$60^8+0.000521*(1000000*'Calcul Re'!$B$60/MAX(4*M16/(PI()*'Calcul Re'!$B$58*'Calcul Re'!$B$46),100))^0.7+(0.0188+0.0063*(19000*'Calcul Re'!$B$60/MAX(4*M16/(PI()*'Calcul Re'!$B$58*'Calcul Re'!$B$46),100))^0.8)*'Calcul Re'!$B$60^3.5*(1000000/MAX(4*M16/(PI()*'Calcul Re'!$B$58*'Calcul Re'!$B$46),100))^0.3)*'Calcul Re'!$B$61*(1-(0.41+0.35*'Calcul Re'!$B$60^4)*$A16/('Calcul Re'!$B$17*'Calcul Re'!$B$35))*PI()*'Calcul Re'!$B$59^2/4*SQRT(2*MAX($A16,0)*'Calcul Re'!$B$45)</f>
        <v>0.00943256040924774</v>
      </c>
      <c r="O16" s="43" t="n">
        <f aca="false">(0.5961+0.0261*'Calcul Re'!$B$60^2-0.216*'Calcul Re'!$B$60^8+0.000521*(1000000*'Calcul Re'!$B$60/MAX(4*N16/(PI()*'Calcul Re'!$B$58*'Calcul Re'!$B$46),100))^0.7+(0.0188+0.0063*(19000*'Calcul Re'!$B$60/MAX(4*N16/(PI()*'Calcul Re'!$B$58*'Calcul Re'!$B$46),100))^0.8)*'Calcul Re'!$B$60^3.5*(1000000/MAX(4*N16/(PI()*'Calcul Re'!$B$58*'Calcul Re'!$B$46),100))^0.3)*'Calcul Re'!$B$61*(1-(0.41+0.35*'Calcul Re'!$B$60^4)*$A16/('Calcul Re'!$B$17*'Calcul Re'!$B$35))*PI()*'Calcul Re'!$B$59^2/4*SQRT(2*MAX($A16,0)*'Calcul Re'!$B$45)</f>
        <v>0.00943256040836884</v>
      </c>
      <c r="P16" s="43" t="n">
        <f aca="false">(0.5961+0.0261*'Calcul Re'!$B$60^2-0.216*'Calcul Re'!$B$60^8+0.000521*(1000000*'Calcul Re'!$B$60/MAX(4*O16/(PI()*'Calcul Re'!$B$58*'Calcul Re'!$B$46),100))^0.7+(0.0188+0.0063*(19000*'Calcul Re'!$B$60/MAX(4*O16/(PI()*'Calcul Re'!$B$58*'Calcul Re'!$B$46),100))^0.8)*'Calcul Re'!$B$60^3.5*(1000000/MAX(4*O16/(PI()*'Calcul Re'!$B$58*'Calcul Re'!$B$46),100))^0.3)*'Calcul Re'!$B$61*(1-(0.41+0.35*'Calcul Re'!$B$60^4)*$A16/('Calcul Re'!$B$17*'Calcul Re'!$B$35))*PI()*'Calcul Re'!$B$59^2/4*SQRT(2*MAX($A16,0)*'Calcul Re'!$B$45)</f>
        <v>0.00943256040838693</v>
      </c>
      <c r="Q16" s="43" t="n">
        <f aca="false">(0.5961+0.0261*'Calcul Re'!$B$60^2-0.216*'Calcul Re'!$B$60^8+0.000521*(1000000*'Calcul Re'!$B$60/MAX(4*P16/(PI()*'Calcul Re'!$B$58*'Calcul Re'!$B$46),100))^0.7+(0.0188+0.0063*(19000*'Calcul Re'!$B$60/MAX(4*P16/(PI()*'Calcul Re'!$B$58*'Calcul Re'!$B$46),100))^0.8)*'Calcul Re'!$B$60^3.5*(1000000/MAX(4*P16/(PI()*'Calcul Re'!$B$58*'Calcul Re'!$B$46),100))^0.3)*'Calcul Re'!$B$61*(1-(0.41+0.35*'Calcul Re'!$B$60^4)*$A16/('Calcul Re'!$B$17*'Calcul Re'!$B$35))*PI()*'Calcul Re'!$B$59^2/4*SQRT(2*MAX($A16,0)*'Calcul Re'!$B$45)</f>
        <v>0.00943256040838656</v>
      </c>
      <c r="R16" s="43" t="n">
        <f aca="false">(0.5961+0.0261*'Calcul Re'!$B$60^2-0.216*'Calcul Re'!$B$60^8+0.000521*(1000000*'Calcul Re'!$B$60/MAX(4*Q16/(PI()*'Calcul Re'!$B$58*'Calcul Re'!$B$46),100))^0.7+(0.0188+0.0063*(19000*'Calcul Re'!$B$60/MAX(4*Q16/(PI()*'Calcul Re'!$B$58*'Calcul Re'!$B$46),100))^0.8)*'Calcul Re'!$B$60^3.5*(1000000/MAX(4*Q16/(PI()*'Calcul Re'!$B$58*'Calcul Re'!$B$46),100))^0.3)*'Calcul Re'!$B$61*(1-(0.41+0.35*'Calcul Re'!$B$60^4)*$A16/('Calcul Re'!$B$17*'Calcul Re'!$B$35))*PI()*'Calcul Re'!$B$59^2/4*SQRT(2*MAX($A16,0)*'Calcul Re'!$B$45)</f>
        <v>0.00943256040838657</v>
      </c>
    </row>
    <row r="17" customFormat="false" ht="15" hidden="false" customHeight="false" outlineLevel="0" collapsed="false">
      <c r="A17" s="42" t="n">
        <v>75</v>
      </c>
      <c r="B17" s="26" t="n">
        <f aca="false">IF($A17&lt;'Calcul Re'!$B$22,0,PI()*SQRT(2)/4*'Calcul Re'!$C$63*'Calcul Re'!$C$59^2*(1-(0.41+0.35*'Calcul Re'!$C$60^4)/'Calcul Re'!$B$17*($A17/'Calcul Re'!$B$35))*SQRT($A17)*SQRT('Calcul Re'!$B$45)/SQRT(1-'Calcul Re'!$C$60^4))</f>
        <v>0.00365096459289385</v>
      </c>
      <c r="C17" s="32" t="n">
        <f aca="false">4*B17/(PI()*'Calcul Re'!$B$26/1000*'Calcul Re'!$B$46)</f>
        <v>3360.24717152598</v>
      </c>
      <c r="D17" s="32" t="n">
        <f aca="false">B17*'Calcul Re'!$B$52/('Calcul Re'!$B$46*'Calcul Re'!$B$51)</f>
        <v>1796.95562588598</v>
      </c>
      <c r="E17" s="26" t="n">
        <f aca="false">IF($A17&lt;'Calcul Re'!$B$22,0,R17)</f>
        <v>0.0115075697356306</v>
      </c>
      <c r="F17" s="32" t="n">
        <f aca="false">4*E17/(PI()*'Calcul Re'!$B$26/1000*'Calcul Re'!$B$46)</f>
        <v>10591.2499755691</v>
      </c>
      <c r="G17" s="32" t="n">
        <f aca="false">E17*'Calcul Re'!$B$52/('Calcul Re'!$B$46*'Calcul Re'!$B$51)</f>
        <v>5663.87091700778</v>
      </c>
      <c r="H17" s="5"/>
      <c r="I17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Re'!$B$60^4)*$A17/('Calcul Re'!$B$17*'Calcul Re'!$B$35))*PI()*'Calcul Re'!$B$59^2/4*SQRT(2*MAX($A17,0)*'Calcul Re'!$B$45)</f>
        <v>0.0112721144179898</v>
      </c>
      <c r="J17" s="43" t="n">
        <f aca="false">(0.5961+0.0261*'Calcul Re'!$B$60^2-0.216*'Calcul Re'!$B$60^8+0.000521*(1000000*'Calcul Re'!$B$60/MAX(4*I17/(PI()*'Calcul Re'!$B$58*'Calcul Re'!$B$46),100))^0.7+(0.0188+0.0063*(19000*'Calcul Re'!$B$60/MAX(4*I17/(PI()*'Calcul Re'!$B$58*'Calcul Re'!$B$46),100))^0.8)*'Calcul Re'!$B$60^3.5*(1000000/MAX(4*I17/(PI()*'Calcul Re'!$B$58*'Calcul Re'!$B$46),100))^0.3)*'Calcul Re'!$B$61*(1-(0.41+0.35*'Calcul Re'!$B$60^4)*$A17/('Calcul Re'!$B$17*'Calcul Re'!$B$35))*PI()*'Calcul Re'!$B$59^2/4*SQRT(2*MAX($A17,0)*'Calcul Re'!$B$45)</f>
        <v>0.0115118575923807</v>
      </c>
      <c r="K17" s="43" t="n">
        <f aca="false">(0.5961+0.0261*'Calcul Re'!$B$60^2-0.216*'Calcul Re'!$B$60^8+0.000521*(1000000*'Calcul Re'!$B$60/MAX(4*J17/(PI()*'Calcul Re'!$B$58*'Calcul Re'!$B$46),100))^0.7+(0.0188+0.0063*(19000*'Calcul Re'!$B$60/MAX(4*J17/(PI()*'Calcul Re'!$B$58*'Calcul Re'!$B$46),100))^0.8)*'Calcul Re'!$B$60^3.5*(1000000/MAX(4*J17/(PI()*'Calcul Re'!$B$58*'Calcul Re'!$B$46),100))^0.3)*'Calcul Re'!$B$61*(1-(0.41+0.35*'Calcul Re'!$B$60^4)*$A17/('Calcul Re'!$B$17*'Calcul Re'!$B$35))*PI()*'Calcul Re'!$B$59^2/4*SQRT(2*MAX($A17,0)*'Calcul Re'!$B$45)</f>
        <v>0.0115074930477182</v>
      </c>
      <c r="L17" s="43" t="n">
        <f aca="false">(0.5961+0.0261*'Calcul Re'!$B$60^2-0.216*'Calcul Re'!$B$60^8+0.000521*(1000000*'Calcul Re'!$B$60/MAX(4*K17/(PI()*'Calcul Re'!$B$58*'Calcul Re'!$B$46),100))^0.7+(0.0188+0.0063*(19000*'Calcul Re'!$B$60/MAX(4*K17/(PI()*'Calcul Re'!$B$58*'Calcul Re'!$B$46),100))^0.8)*'Calcul Re'!$B$60^3.5*(1000000/MAX(4*K17/(PI()*'Calcul Re'!$B$58*'Calcul Re'!$B$46),100))^0.3)*'Calcul Re'!$B$61*(1-(0.41+0.35*'Calcul Re'!$B$60^4)*$A17/('Calcul Re'!$B$17*'Calcul Re'!$B$35))*PI()*'Calcul Re'!$B$59^2/4*SQRT(2*MAX($A17,0)*'Calcul Re'!$B$45)</f>
        <v>0.0115075711076332</v>
      </c>
      <c r="M17" s="43" t="n">
        <f aca="false">(0.5961+0.0261*'Calcul Re'!$B$60^2-0.216*'Calcul Re'!$B$60^8+0.000521*(1000000*'Calcul Re'!$B$60/MAX(4*L17/(PI()*'Calcul Re'!$B$58*'Calcul Re'!$B$46),100))^0.7+(0.0188+0.0063*(19000*'Calcul Re'!$B$60/MAX(4*L17/(PI()*'Calcul Re'!$B$58*'Calcul Re'!$B$46),100))^0.8)*'Calcul Re'!$B$60^3.5*(1000000/MAX(4*L17/(PI()*'Calcul Re'!$B$58*'Calcul Re'!$B$46),100))^0.3)*'Calcul Re'!$B$61*(1-(0.41+0.35*'Calcul Re'!$B$60^4)*$A17/('Calcul Re'!$B$17*'Calcul Re'!$B$35))*PI()*'Calcul Re'!$B$59^2/4*SQRT(2*MAX($A17,0)*'Calcul Re'!$B$45)</f>
        <v>0.0115075697110846</v>
      </c>
      <c r="N17" s="43" t="n">
        <f aca="false">(0.5961+0.0261*'Calcul Re'!$B$60^2-0.216*'Calcul Re'!$B$60^8+0.000521*(1000000*'Calcul Re'!$B$60/MAX(4*M17/(PI()*'Calcul Re'!$B$58*'Calcul Re'!$B$46),100))^0.7+(0.0188+0.0063*(19000*'Calcul Re'!$B$60/MAX(4*M17/(PI()*'Calcul Re'!$B$58*'Calcul Re'!$B$46),100))^0.8)*'Calcul Re'!$B$60^3.5*(1000000/MAX(4*M17/(PI()*'Calcul Re'!$B$58*'Calcul Re'!$B$46),100))^0.3)*'Calcul Re'!$B$61*(1-(0.41+0.35*'Calcul Re'!$B$60^4)*$A17/('Calcul Re'!$B$17*'Calcul Re'!$B$35))*PI()*'Calcul Re'!$B$59^2/4*SQRT(2*MAX($A17,0)*'Calcul Re'!$B$45)</f>
        <v>0.0115075697360697</v>
      </c>
      <c r="O17" s="43" t="n">
        <f aca="false">(0.5961+0.0261*'Calcul Re'!$B$60^2-0.216*'Calcul Re'!$B$60^8+0.000521*(1000000*'Calcul Re'!$B$60/MAX(4*N17/(PI()*'Calcul Re'!$B$58*'Calcul Re'!$B$46),100))^0.7+(0.0188+0.0063*(19000*'Calcul Re'!$B$60/MAX(4*N17/(PI()*'Calcul Re'!$B$58*'Calcul Re'!$B$46),100))^0.8)*'Calcul Re'!$B$60^3.5*(1000000/MAX(4*N17/(PI()*'Calcul Re'!$B$58*'Calcul Re'!$B$46),100))^0.3)*'Calcul Re'!$B$61*(1-(0.41+0.35*'Calcul Re'!$B$60^4)*$A17/('Calcul Re'!$B$17*'Calcul Re'!$B$35))*PI()*'Calcul Re'!$B$59^2/4*SQRT(2*MAX($A17,0)*'Calcul Re'!$B$45)</f>
        <v>0.0115075697356227</v>
      </c>
      <c r="P17" s="43" t="n">
        <f aca="false">(0.5961+0.0261*'Calcul Re'!$B$60^2-0.216*'Calcul Re'!$B$60^8+0.000521*(1000000*'Calcul Re'!$B$60/MAX(4*O17/(PI()*'Calcul Re'!$B$58*'Calcul Re'!$B$46),100))^0.7+(0.0188+0.0063*(19000*'Calcul Re'!$B$60/MAX(4*O17/(PI()*'Calcul Re'!$B$58*'Calcul Re'!$B$46),100))^0.8)*'Calcul Re'!$B$60^3.5*(1000000/MAX(4*O17/(PI()*'Calcul Re'!$B$58*'Calcul Re'!$B$46),100))^0.3)*'Calcul Re'!$B$61*(1-(0.41+0.35*'Calcul Re'!$B$60^4)*$A17/('Calcul Re'!$B$17*'Calcul Re'!$B$35))*PI()*'Calcul Re'!$B$59^2/4*SQRT(2*MAX($A17,0)*'Calcul Re'!$B$45)</f>
        <v>0.0115075697356307</v>
      </c>
      <c r="Q17" s="43" t="n">
        <f aca="false">(0.5961+0.0261*'Calcul Re'!$B$60^2-0.216*'Calcul Re'!$B$60^8+0.000521*(1000000*'Calcul Re'!$B$60/MAX(4*P17/(PI()*'Calcul Re'!$B$58*'Calcul Re'!$B$46),100))^0.7+(0.0188+0.0063*(19000*'Calcul Re'!$B$60/MAX(4*P17/(PI()*'Calcul Re'!$B$58*'Calcul Re'!$B$46),100))^0.8)*'Calcul Re'!$B$60^3.5*(1000000/MAX(4*P17/(PI()*'Calcul Re'!$B$58*'Calcul Re'!$B$46),100))^0.3)*'Calcul Re'!$B$61*(1-(0.41+0.35*'Calcul Re'!$B$60^4)*$A17/('Calcul Re'!$B$17*'Calcul Re'!$B$35))*PI()*'Calcul Re'!$B$59^2/4*SQRT(2*MAX($A17,0)*'Calcul Re'!$B$45)</f>
        <v>0.0115075697356306</v>
      </c>
      <c r="R17" s="43" t="n">
        <f aca="false">(0.5961+0.0261*'Calcul Re'!$B$60^2-0.216*'Calcul Re'!$B$60^8+0.000521*(1000000*'Calcul Re'!$B$60/MAX(4*Q17/(PI()*'Calcul Re'!$B$58*'Calcul Re'!$B$46),100))^0.7+(0.0188+0.0063*(19000*'Calcul Re'!$B$60/MAX(4*Q17/(PI()*'Calcul Re'!$B$58*'Calcul Re'!$B$46),100))^0.8)*'Calcul Re'!$B$60^3.5*(1000000/MAX(4*Q17/(PI()*'Calcul Re'!$B$58*'Calcul Re'!$B$46),100))^0.3)*'Calcul Re'!$B$61*(1-(0.41+0.35*'Calcul Re'!$B$60^4)*$A17/('Calcul Re'!$B$17*'Calcul Re'!$B$35))*PI()*'Calcul Re'!$B$59^2/4*SQRT(2*MAX($A17,0)*'Calcul Re'!$B$45)</f>
        <v>0.0115075697356306</v>
      </c>
    </row>
    <row r="18" customFormat="false" ht="15" hidden="false" customHeight="false" outlineLevel="0" collapsed="false">
      <c r="A18" s="42" t="n">
        <v>100</v>
      </c>
      <c r="B18" s="26" t="n">
        <f aca="false">IF($A18&lt;'Calcul Re'!$B$22,0,PI()*SQRT(2)/4*'Calcul Re'!$C$63*'Calcul Re'!$C$59^2*(1-(0.41+0.35*'Calcul Re'!$C$60^4)/'Calcul Re'!$B$17*($A18/'Calcul Re'!$B$35))*SQRT($A18)*SQRT('Calcul Re'!$B$45)/SQRT(1-'Calcul Re'!$C$60^4))</f>
        <v>0.00421546609339538</v>
      </c>
      <c r="C18" s="32" t="n">
        <f aca="false">4*B18/(PI()*'Calcul Re'!$B$26/1000*'Calcul Re'!$B$46)</f>
        <v>3879.79879195925</v>
      </c>
      <c r="D18" s="32" t="n">
        <f aca="false">B18*'Calcul Re'!$B$52/('Calcul Re'!$B$46*'Calcul Re'!$B$51)</f>
        <v>2074.79566550776</v>
      </c>
      <c r="E18" s="26" t="n">
        <f aca="false">IF($A18&lt;'Calcul Re'!$B$22,0,R18)</f>
        <v>0.0132548112704644</v>
      </c>
      <c r="F18" s="32" t="n">
        <f aca="false">4*E18/(PI()*'Calcul Re'!$B$26/1000*'Calcul Re'!$B$46)</f>
        <v>12199.36292107</v>
      </c>
      <c r="G18" s="32" t="n">
        <f aca="false">E18*'Calcul Re'!$B$52/('Calcul Re'!$B$46*'Calcul Re'!$B$51)</f>
        <v>6523.83968030731</v>
      </c>
      <c r="H18" s="5"/>
      <c r="I18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Re'!$B$60^4)*$A18/('Calcul Re'!$B$17*'Calcul Re'!$B$35))*PI()*'Calcul Re'!$B$59^2/4*SQRT(2*MAX($A18,0)*'Calcul Re'!$B$45)</f>
        <v>0.0130149147788911</v>
      </c>
      <c r="J18" s="43" t="n">
        <f aca="false">(0.5961+0.0261*'Calcul Re'!$B$60^2-0.216*'Calcul Re'!$B$60^8+0.000521*(1000000*'Calcul Re'!$B$60/MAX(4*I18/(PI()*'Calcul Re'!$B$58*'Calcul Re'!$B$46),100))^0.7+(0.0188+0.0063*(19000*'Calcul Re'!$B$60/MAX(4*I18/(PI()*'Calcul Re'!$B$58*'Calcul Re'!$B$46),100))^0.8)*'Calcul Re'!$B$60^3.5*(1000000/MAX(4*I18/(PI()*'Calcul Re'!$B$58*'Calcul Re'!$B$46),100))^0.3)*'Calcul Re'!$B$61*(1-(0.41+0.35*'Calcul Re'!$B$60^4)*$A18/('Calcul Re'!$B$17*'Calcul Re'!$B$35))*PI()*'Calcul Re'!$B$59^2/4*SQRT(2*MAX($A18,0)*'Calcul Re'!$B$45)</f>
        <v>0.0132587629812699</v>
      </c>
      <c r="K18" s="43" t="n">
        <f aca="false">(0.5961+0.0261*'Calcul Re'!$B$60^2-0.216*'Calcul Re'!$B$60^8+0.000521*(1000000*'Calcul Re'!$B$60/MAX(4*J18/(PI()*'Calcul Re'!$B$58*'Calcul Re'!$B$46),100))^0.7+(0.0188+0.0063*(19000*'Calcul Re'!$B$60/MAX(4*J18/(PI()*'Calcul Re'!$B$58*'Calcul Re'!$B$46),100))^0.8)*'Calcul Re'!$B$60^3.5*(1000000/MAX(4*J18/(PI()*'Calcul Re'!$B$58*'Calcul Re'!$B$46),100))^0.3)*'Calcul Re'!$B$61*(1-(0.41+0.35*'Calcul Re'!$B$60^4)*$A18/('Calcul Re'!$B$17*'Calcul Re'!$B$35))*PI()*'Calcul Re'!$B$59^2/4*SQRT(2*MAX($A18,0)*'Calcul Re'!$B$45)</f>
        <v>0.0132547471980275</v>
      </c>
      <c r="L18" s="43" t="n">
        <f aca="false">(0.5961+0.0261*'Calcul Re'!$B$60^2-0.216*'Calcul Re'!$B$60^8+0.000521*(1000000*'Calcul Re'!$B$60/MAX(4*K18/(PI()*'Calcul Re'!$B$58*'Calcul Re'!$B$46),100))^0.7+(0.0188+0.0063*(19000*'Calcul Re'!$B$60/MAX(4*K18/(PI()*'Calcul Re'!$B$58*'Calcul Re'!$B$46),100))^0.8)*'Calcul Re'!$B$60^3.5*(1000000/MAX(4*K18/(PI()*'Calcul Re'!$B$58*'Calcul Re'!$B$46),100))^0.3)*'Calcul Re'!$B$61*(1-(0.41+0.35*'Calcul Re'!$B$60^4)*$A18/('Calcul Re'!$B$17*'Calcul Re'!$B$35))*PI()*'Calcul Re'!$B$59^2/4*SQRT(2*MAX($A18,0)*'Calcul Re'!$B$45)</f>
        <v>0.0132548123095936</v>
      </c>
      <c r="M18" s="43" t="n">
        <f aca="false">(0.5961+0.0261*'Calcul Re'!$B$60^2-0.216*'Calcul Re'!$B$60^8+0.000521*(1000000*'Calcul Re'!$B$60/MAX(4*L18/(PI()*'Calcul Re'!$B$58*'Calcul Re'!$B$46),100))^0.7+(0.0188+0.0063*(19000*'Calcul Re'!$B$60/MAX(4*L18/(PI()*'Calcul Re'!$B$58*'Calcul Re'!$B$46),100))^0.8)*'Calcul Re'!$B$60^3.5*(1000000/MAX(4*L18/(PI()*'Calcul Re'!$B$58*'Calcul Re'!$B$46),100))^0.3)*'Calcul Re'!$B$61*(1-(0.41+0.35*'Calcul Re'!$B$60^4)*$A18/('Calcul Re'!$B$17*'Calcul Re'!$B$35))*PI()*'Calcul Re'!$B$59^2/4*SQRT(2*MAX($A18,0)*'Calcul Re'!$B$45)</f>
        <v>0.0132548112536118</v>
      </c>
      <c r="N18" s="43" t="n">
        <f aca="false">(0.5961+0.0261*'Calcul Re'!$B$60^2-0.216*'Calcul Re'!$B$60^8+0.000521*(1000000*'Calcul Re'!$B$60/MAX(4*M18/(PI()*'Calcul Re'!$B$58*'Calcul Re'!$B$46),100))^0.7+(0.0188+0.0063*(19000*'Calcul Re'!$B$60/MAX(4*M18/(PI()*'Calcul Re'!$B$58*'Calcul Re'!$B$46),100))^0.8)*'Calcul Re'!$B$60^3.5*(1000000/MAX(4*M18/(PI()*'Calcul Re'!$B$58*'Calcul Re'!$B$46),100))^0.3)*'Calcul Re'!$B$61*(1-(0.41+0.35*'Calcul Re'!$B$60^4)*$A18/('Calcul Re'!$B$17*'Calcul Re'!$B$35))*PI()*'Calcul Re'!$B$59^2/4*SQRT(2*MAX($A18,0)*'Calcul Re'!$B$45)</f>
        <v>0.0132548112707377</v>
      </c>
      <c r="O18" s="43" t="n">
        <f aca="false">(0.5961+0.0261*'Calcul Re'!$B$60^2-0.216*'Calcul Re'!$B$60^8+0.000521*(1000000*'Calcul Re'!$B$60/MAX(4*N18/(PI()*'Calcul Re'!$B$58*'Calcul Re'!$B$46),100))^0.7+(0.0188+0.0063*(19000*'Calcul Re'!$B$60/MAX(4*N18/(PI()*'Calcul Re'!$B$58*'Calcul Re'!$B$46),100))^0.8)*'Calcul Re'!$B$60^3.5*(1000000/MAX(4*N18/(PI()*'Calcul Re'!$B$58*'Calcul Re'!$B$46),100))^0.3)*'Calcul Re'!$B$61*(1-(0.41+0.35*'Calcul Re'!$B$60^4)*$A18/('Calcul Re'!$B$17*'Calcul Re'!$B$35))*PI()*'Calcul Re'!$B$59^2/4*SQRT(2*MAX($A18,0)*'Calcul Re'!$B$45)</f>
        <v>0.0132548112704599</v>
      </c>
      <c r="P18" s="43" t="n">
        <f aca="false">(0.5961+0.0261*'Calcul Re'!$B$60^2-0.216*'Calcul Re'!$B$60^8+0.000521*(1000000*'Calcul Re'!$B$60/MAX(4*O18/(PI()*'Calcul Re'!$B$58*'Calcul Re'!$B$46),100))^0.7+(0.0188+0.0063*(19000*'Calcul Re'!$B$60/MAX(4*O18/(PI()*'Calcul Re'!$B$58*'Calcul Re'!$B$46),100))^0.8)*'Calcul Re'!$B$60^3.5*(1000000/MAX(4*O18/(PI()*'Calcul Re'!$B$58*'Calcul Re'!$B$46),100))^0.3)*'Calcul Re'!$B$61*(1-(0.41+0.35*'Calcul Re'!$B$60^4)*$A18/('Calcul Re'!$B$17*'Calcul Re'!$B$35))*PI()*'Calcul Re'!$B$59^2/4*SQRT(2*MAX($A18,0)*'Calcul Re'!$B$45)</f>
        <v>0.0132548112704645</v>
      </c>
      <c r="Q18" s="43" t="n">
        <f aca="false">(0.5961+0.0261*'Calcul Re'!$B$60^2-0.216*'Calcul Re'!$B$60^8+0.000521*(1000000*'Calcul Re'!$B$60/MAX(4*P18/(PI()*'Calcul Re'!$B$58*'Calcul Re'!$B$46),100))^0.7+(0.0188+0.0063*(19000*'Calcul Re'!$B$60/MAX(4*P18/(PI()*'Calcul Re'!$B$58*'Calcul Re'!$B$46),100))^0.8)*'Calcul Re'!$B$60^3.5*(1000000/MAX(4*P18/(PI()*'Calcul Re'!$B$58*'Calcul Re'!$B$46),100))^0.3)*'Calcul Re'!$B$61*(1-(0.41+0.35*'Calcul Re'!$B$60^4)*$A18/('Calcul Re'!$B$17*'Calcul Re'!$B$35))*PI()*'Calcul Re'!$B$59^2/4*SQRT(2*MAX($A18,0)*'Calcul Re'!$B$45)</f>
        <v>0.0132548112704644</v>
      </c>
      <c r="R18" s="43" t="n">
        <f aca="false">(0.5961+0.0261*'Calcul Re'!$B$60^2-0.216*'Calcul Re'!$B$60^8+0.000521*(1000000*'Calcul Re'!$B$60/MAX(4*Q18/(PI()*'Calcul Re'!$B$58*'Calcul Re'!$B$46),100))^0.7+(0.0188+0.0063*(19000*'Calcul Re'!$B$60/MAX(4*Q18/(PI()*'Calcul Re'!$B$58*'Calcul Re'!$B$46),100))^0.8)*'Calcul Re'!$B$60^3.5*(1000000/MAX(4*Q18/(PI()*'Calcul Re'!$B$58*'Calcul Re'!$B$46),100))^0.3)*'Calcul Re'!$B$61*(1-(0.41+0.35*'Calcul Re'!$B$60^4)*$A18/('Calcul Re'!$B$17*'Calcul Re'!$B$35))*PI()*'Calcul Re'!$B$59^2/4*SQRT(2*MAX($A18,0)*'Calcul Re'!$B$45)</f>
        <v>0.0132548112704644</v>
      </c>
    </row>
    <row r="19" customFormat="false" ht="15" hidden="false" customHeight="false" outlineLevel="0" collapsed="false">
      <c r="A19" s="42" t="n">
        <v>150</v>
      </c>
      <c r="B19" s="26" t="n">
        <f aca="false">IF($A19&lt;'Calcul Re'!$B$22,0,PI()*SQRT(2)/4*'Calcul Re'!$C$63*'Calcul Re'!$C$59^2*(1-(0.41+0.35*'Calcul Re'!$C$60^4)/'Calcul Re'!$B$17*($A19/'Calcul Re'!$B$35))*SQRT($A19)*SQRT('Calcul Re'!$B$45)/SQRT(1-'Calcul Re'!$C$60^4))</f>
        <v>0.00516212414920452</v>
      </c>
      <c r="C19" s="32" t="n">
        <f aca="false">4*B19/(PI()*'Calcul Re'!$B$26/1000*'Calcul Re'!$B$46)</f>
        <v>4751.07677165436</v>
      </c>
      <c r="D19" s="32" t="n">
        <f aca="false">B19*'Calcul Re'!$B$52/('Calcul Re'!$B$46*'Calcul Re'!$B$51)</f>
        <v>2540.72801732719</v>
      </c>
      <c r="E19" s="26" t="n">
        <f aca="false">IF($A19&lt;'Calcul Re'!$B$22,0,R19)</f>
        <v>0.0161822404880385</v>
      </c>
      <c r="F19" s="32" t="n">
        <f aca="false">4*E19/(PI()*'Calcul Re'!$B$26/1000*'Calcul Re'!$B$46)</f>
        <v>14893.6880775895</v>
      </c>
      <c r="G19" s="32" t="n">
        <f aca="false">E19*'Calcul Re'!$B$52/('Calcul Re'!$B$46*'Calcul Re'!$B$51)</f>
        <v>7964.68093418898</v>
      </c>
      <c r="H19" s="5"/>
      <c r="I19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Re'!$B$60^4)*$A19/('Calcul Re'!$B$17*'Calcul Re'!$B$35))*PI()*'Calcul Re'!$B$59^2/4*SQRT(2*MAX($A19,0)*'Calcul Re'!$B$45)</f>
        <v>0.0159374962080515</v>
      </c>
      <c r="J19" s="43" t="n">
        <f aca="false">(0.5961+0.0261*'Calcul Re'!$B$60^2-0.216*'Calcul Re'!$B$60^8+0.000521*(1000000*'Calcul Re'!$B$60/MAX(4*I19/(PI()*'Calcul Re'!$B$58*'Calcul Re'!$B$46),100))^0.7+(0.0188+0.0063*(19000*'Calcul Re'!$B$60/MAX(4*I19/(PI()*'Calcul Re'!$B$58*'Calcul Re'!$B$46),100))^0.8)*'Calcul Re'!$B$60^3.5*(1000000/MAX(4*I19/(PI()*'Calcul Re'!$B$58*'Calcul Re'!$B$46),100))^0.3)*'Calcul Re'!$B$61*(1-(0.41+0.35*'Calcul Re'!$B$60^4)*$A19/('Calcul Re'!$B$17*'Calcul Re'!$B$35))*PI()*'Calcul Re'!$B$59^2/4*SQRT(2*MAX($A19,0)*'Calcul Re'!$B$45)</f>
        <v>0.0161857489058458</v>
      </c>
      <c r="K19" s="43" t="n">
        <f aca="false">(0.5961+0.0261*'Calcul Re'!$B$60^2-0.216*'Calcul Re'!$B$60^8+0.000521*(1000000*'Calcul Re'!$B$60/MAX(4*J19/(PI()*'Calcul Re'!$B$58*'Calcul Re'!$B$46),100))^0.7+(0.0188+0.0063*(19000*'Calcul Re'!$B$60/MAX(4*J19/(PI()*'Calcul Re'!$B$58*'Calcul Re'!$B$46),100))^0.8)*'Calcul Re'!$B$60^3.5*(1000000/MAX(4*J19/(PI()*'Calcul Re'!$B$58*'Calcul Re'!$B$46),100))^0.3)*'Calcul Re'!$B$61*(1-(0.41+0.35*'Calcul Re'!$B$60^4)*$A19/('Calcul Re'!$B$17*'Calcul Re'!$B$35))*PI()*'Calcul Re'!$B$59^2/4*SQRT(2*MAX($A19,0)*'Calcul Re'!$B$45)</f>
        <v>0.0161821908473819</v>
      </c>
      <c r="L19" s="43" t="n">
        <f aca="false">(0.5961+0.0261*'Calcul Re'!$B$60^2-0.216*'Calcul Re'!$B$60^8+0.000521*(1000000*'Calcul Re'!$B$60/MAX(4*K19/(PI()*'Calcul Re'!$B$58*'Calcul Re'!$B$46),100))^0.7+(0.0188+0.0063*(19000*'Calcul Re'!$B$60/MAX(4*K19/(PI()*'Calcul Re'!$B$58*'Calcul Re'!$B$46),100))^0.8)*'Calcul Re'!$B$60^3.5*(1000000/MAX(4*K19/(PI()*'Calcul Re'!$B$58*'Calcul Re'!$B$46),100))^0.3)*'Calcul Re'!$B$61*(1-(0.41+0.35*'Calcul Re'!$B$60^4)*$A19/('Calcul Re'!$B$17*'Calcul Re'!$B$35))*PI()*'Calcul Re'!$B$59^2/4*SQRT(2*MAX($A19,0)*'Calcul Re'!$B$45)</f>
        <v>0.0161822411905354</v>
      </c>
      <c r="M19" s="43" t="n">
        <f aca="false">(0.5961+0.0261*'Calcul Re'!$B$60^2-0.216*'Calcul Re'!$B$60^8+0.000521*(1000000*'Calcul Re'!$B$60/MAX(4*L19/(PI()*'Calcul Re'!$B$58*'Calcul Re'!$B$46),100))^0.7+(0.0188+0.0063*(19000*'Calcul Re'!$B$60/MAX(4*L19/(PI()*'Calcul Re'!$B$58*'Calcul Re'!$B$46),100))^0.8)*'Calcul Re'!$B$60^3.5*(1000000/MAX(4*L19/(PI()*'Calcul Re'!$B$58*'Calcul Re'!$B$46),100))^0.3)*'Calcul Re'!$B$61*(1-(0.41+0.35*'Calcul Re'!$B$60^4)*$A19/('Calcul Re'!$B$17*'Calcul Re'!$B$35))*PI()*'Calcul Re'!$B$59^2/4*SQRT(2*MAX($A19,0)*'Calcul Re'!$B$45)</f>
        <v>0.016182240478097</v>
      </c>
      <c r="N19" s="43" t="n">
        <f aca="false">(0.5961+0.0261*'Calcul Re'!$B$60^2-0.216*'Calcul Re'!$B$60^8+0.000521*(1000000*'Calcul Re'!$B$60/MAX(4*M19/(PI()*'Calcul Re'!$B$58*'Calcul Re'!$B$46),100))^0.7+(0.0188+0.0063*(19000*'Calcul Re'!$B$60/MAX(4*M19/(PI()*'Calcul Re'!$B$58*'Calcul Re'!$B$46),100))^0.8)*'Calcul Re'!$B$60^3.5*(1000000/MAX(4*M19/(PI()*'Calcul Re'!$B$58*'Calcul Re'!$B$46),100))^0.3)*'Calcul Re'!$B$61*(1-(0.41+0.35*'Calcul Re'!$B$60^4)*$A19/('Calcul Re'!$B$17*'Calcul Re'!$B$35))*PI()*'Calcul Re'!$B$59^2/4*SQRT(2*MAX($A19,0)*'Calcul Re'!$B$45)</f>
        <v>0.0161822404881791</v>
      </c>
      <c r="O19" s="43" t="n">
        <f aca="false">(0.5961+0.0261*'Calcul Re'!$B$60^2-0.216*'Calcul Re'!$B$60^8+0.000521*(1000000*'Calcul Re'!$B$60/MAX(4*N19/(PI()*'Calcul Re'!$B$58*'Calcul Re'!$B$46),100))^0.7+(0.0188+0.0063*(19000*'Calcul Re'!$B$60/MAX(4*N19/(PI()*'Calcul Re'!$B$58*'Calcul Re'!$B$46),100))^0.8)*'Calcul Re'!$B$60^3.5*(1000000/MAX(4*N19/(PI()*'Calcul Re'!$B$58*'Calcul Re'!$B$46),100))^0.3)*'Calcul Re'!$B$61*(1-(0.41+0.35*'Calcul Re'!$B$60^4)*$A19/('Calcul Re'!$B$17*'Calcul Re'!$B$35))*PI()*'Calcul Re'!$B$59^2/4*SQRT(2*MAX($A19,0)*'Calcul Re'!$B$45)</f>
        <v>0.0161822404880365</v>
      </c>
      <c r="P19" s="43" t="n">
        <f aca="false">(0.5961+0.0261*'Calcul Re'!$B$60^2-0.216*'Calcul Re'!$B$60^8+0.000521*(1000000*'Calcul Re'!$B$60/MAX(4*O19/(PI()*'Calcul Re'!$B$58*'Calcul Re'!$B$46),100))^0.7+(0.0188+0.0063*(19000*'Calcul Re'!$B$60/MAX(4*O19/(PI()*'Calcul Re'!$B$58*'Calcul Re'!$B$46),100))^0.8)*'Calcul Re'!$B$60^3.5*(1000000/MAX(4*O19/(PI()*'Calcul Re'!$B$58*'Calcul Re'!$B$46),100))^0.3)*'Calcul Re'!$B$61*(1-(0.41+0.35*'Calcul Re'!$B$60^4)*$A19/('Calcul Re'!$B$17*'Calcul Re'!$B$35))*PI()*'Calcul Re'!$B$59^2/4*SQRT(2*MAX($A19,0)*'Calcul Re'!$B$45)</f>
        <v>0.0161822404880385</v>
      </c>
      <c r="Q19" s="43" t="n">
        <f aca="false">(0.5961+0.0261*'Calcul Re'!$B$60^2-0.216*'Calcul Re'!$B$60^8+0.000521*(1000000*'Calcul Re'!$B$60/MAX(4*P19/(PI()*'Calcul Re'!$B$58*'Calcul Re'!$B$46),100))^0.7+(0.0188+0.0063*(19000*'Calcul Re'!$B$60/MAX(4*P19/(PI()*'Calcul Re'!$B$58*'Calcul Re'!$B$46),100))^0.8)*'Calcul Re'!$B$60^3.5*(1000000/MAX(4*P19/(PI()*'Calcul Re'!$B$58*'Calcul Re'!$B$46),100))^0.3)*'Calcul Re'!$B$61*(1-(0.41+0.35*'Calcul Re'!$B$60^4)*$A19/('Calcul Re'!$B$17*'Calcul Re'!$B$35))*PI()*'Calcul Re'!$B$59^2/4*SQRT(2*MAX($A19,0)*'Calcul Re'!$B$45)</f>
        <v>0.0161822404880385</v>
      </c>
      <c r="R19" s="43" t="n">
        <f aca="false">(0.5961+0.0261*'Calcul Re'!$B$60^2-0.216*'Calcul Re'!$B$60^8+0.000521*(1000000*'Calcul Re'!$B$60/MAX(4*Q19/(PI()*'Calcul Re'!$B$58*'Calcul Re'!$B$46),100))^0.7+(0.0188+0.0063*(19000*'Calcul Re'!$B$60/MAX(4*Q19/(PI()*'Calcul Re'!$B$58*'Calcul Re'!$B$46),100))^0.8)*'Calcul Re'!$B$60^3.5*(1000000/MAX(4*Q19/(PI()*'Calcul Re'!$B$58*'Calcul Re'!$B$46),100))^0.3)*'Calcul Re'!$B$61*(1-(0.41+0.35*'Calcul Re'!$B$60^4)*$A19/('Calcul Re'!$B$17*'Calcul Re'!$B$35))*PI()*'Calcul Re'!$B$59^2/4*SQRT(2*MAX($A19,0)*'Calcul Re'!$B$45)</f>
        <v>0.0161822404880385</v>
      </c>
    </row>
    <row r="20" customFormat="false" ht="15" hidden="false" customHeight="false" outlineLevel="0" collapsed="false">
      <c r="A20" s="42" t="n">
        <v>200</v>
      </c>
      <c r="B20" s="26" t="n">
        <f aca="false">IF($A20&lt;'Calcul Re'!$B$22,0,PI()*SQRT(2)/4*'Calcul Re'!$C$63*'Calcul Re'!$C$59^2*(1-(0.41+0.35*'Calcul Re'!$C$60^4)/'Calcul Re'!$B$17*($A20/'Calcul Re'!$B$35))*SQRT($A20)*SQRT('Calcul Re'!$B$45)/SQRT(1-'Calcul Re'!$C$60^4))</f>
        <v>0.0059598457475303</v>
      </c>
      <c r="C20" s="32" t="n">
        <f aca="false">4*B20/(PI()*'Calcul Re'!$B$26/1000*'Calcul Re'!$B$46)</f>
        <v>5485.27774135337</v>
      </c>
      <c r="D20" s="32" t="n">
        <f aca="false">B20*'Calcul Re'!$B$52/('Calcul Re'!$B$46*'Calcul Re'!$B$51)</f>
        <v>2933.35584965193</v>
      </c>
      <c r="E20" s="26" t="n">
        <f aca="false">IF($A20&lt;'Calcul Re'!$B$22,0,R20)</f>
        <v>0.0186470479300043</v>
      </c>
      <c r="F20" s="32" t="n">
        <f aca="false">4*E20/(PI()*'Calcul Re'!$B$26/1000*'Calcul Re'!$B$46)</f>
        <v>17162.2289041268</v>
      </c>
      <c r="G20" s="32" t="n">
        <f aca="false">E20*'Calcul Re'!$B$52/('Calcul Re'!$B$46*'Calcul Re'!$B$51)</f>
        <v>9177.82597760762</v>
      </c>
      <c r="H20" s="5"/>
      <c r="I20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Re'!$B$60^4)*$A20/('Calcul Re'!$B$17*'Calcul Re'!$B$35))*PI()*'Calcul Re'!$B$59^2/4*SQRT(2*MAX($A20,0)*'Calcul Re'!$B$45)</f>
        <v>0.0184002019102708</v>
      </c>
      <c r="J20" s="43" t="n">
        <f aca="false">(0.5961+0.0261*'Calcul Re'!$B$60^2-0.216*'Calcul Re'!$B$60^8+0.000521*(1000000*'Calcul Re'!$B$60/MAX(4*I20/(PI()*'Calcul Re'!$B$58*'Calcul Re'!$B$46),100))^0.7+(0.0188+0.0063*(19000*'Calcul Re'!$B$60/MAX(4*I20/(PI()*'Calcul Re'!$B$58*'Calcul Re'!$B$46),100))^0.8)*'Calcul Re'!$B$60^3.5*(1000000/MAX(4*I20/(PI()*'Calcul Re'!$B$58*'Calcul Re'!$B$46),100))^0.3)*'Calcul Re'!$B$61*(1-(0.41+0.35*'Calcul Re'!$B$60^4)*$A20/('Calcul Re'!$B$17*'Calcul Re'!$B$35))*PI()*'Calcul Re'!$B$59^2/4*SQRT(2*MAX($A20,0)*'Calcul Re'!$B$45)</f>
        <v>0.0186502597832317</v>
      </c>
      <c r="K20" s="43" t="n">
        <f aca="false">(0.5961+0.0261*'Calcul Re'!$B$60^2-0.216*'Calcul Re'!$B$60^8+0.000521*(1000000*'Calcul Re'!$B$60/MAX(4*J20/(PI()*'Calcul Re'!$B$58*'Calcul Re'!$B$46),100))^0.7+(0.0188+0.0063*(19000*'Calcul Re'!$B$60/MAX(4*J20/(PI()*'Calcul Re'!$B$58*'Calcul Re'!$B$46),100))^0.8)*'Calcul Re'!$B$60^3.5*(1000000/MAX(4*J20/(PI()*'Calcul Re'!$B$58*'Calcul Re'!$B$46),100))^0.3)*'Calcul Re'!$B$61*(1-(0.41+0.35*'Calcul Re'!$B$60^4)*$A20/('Calcul Re'!$B$17*'Calcul Re'!$B$35))*PI()*'Calcul Re'!$B$59^2/4*SQRT(2*MAX($A20,0)*'Calcul Re'!$B$45)</f>
        <v>0.0186470066096845</v>
      </c>
      <c r="L20" s="43" t="n">
        <f aca="false">(0.5961+0.0261*'Calcul Re'!$B$60^2-0.216*'Calcul Re'!$B$60^8+0.000521*(1000000*'Calcul Re'!$B$60/MAX(4*K20/(PI()*'Calcul Re'!$B$58*'Calcul Re'!$B$46),100))^0.7+(0.0188+0.0063*(19000*'Calcul Re'!$B$60/MAX(4*K20/(PI()*'Calcul Re'!$B$58*'Calcul Re'!$B$46),100))^0.8)*'Calcul Re'!$B$60^3.5*(1000000/MAX(4*K20/(PI()*'Calcul Re'!$B$58*'Calcul Re'!$B$46),100))^0.3)*'Calcul Re'!$B$61*(1-(0.41+0.35*'Calcul Re'!$B$60^4)*$A20/('Calcul Re'!$B$17*'Calcul Re'!$B$35))*PI()*'Calcul Re'!$B$59^2/4*SQRT(2*MAX($A20,0)*'Calcul Re'!$B$45)</f>
        <v>0.0186470484616659</v>
      </c>
      <c r="M20" s="43" t="n">
        <f aca="false">(0.5961+0.0261*'Calcul Re'!$B$60^2-0.216*'Calcul Re'!$B$60^8+0.000521*(1000000*'Calcul Re'!$B$60/MAX(4*L20/(PI()*'Calcul Re'!$B$58*'Calcul Re'!$B$46),100))^0.7+(0.0188+0.0063*(19000*'Calcul Re'!$B$60/MAX(4*L20/(PI()*'Calcul Re'!$B$58*'Calcul Re'!$B$46),100))^0.8)*'Calcul Re'!$B$60^3.5*(1000000/MAX(4*L20/(PI()*'Calcul Re'!$B$58*'Calcul Re'!$B$46),100))^0.3)*'Calcul Re'!$B$61*(1-(0.41+0.35*'Calcul Re'!$B$60^4)*$A20/('Calcul Re'!$B$17*'Calcul Re'!$B$35))*PI()*'Calcul Re'!$B$59^2/4*SQRT(2*MAX($A20,0)*'Calcul Re'!$B$45)</f>
        <v>0.0186470479231635</v>
      </c>
      <c r="N20" s="43" t="n">
        <f aca="false">(0.5961+0.0261*'Calcul Re'!$B$60^2-0.216*'Calcul Re'!$B$60^8+0.000521*(1000000*'Calcul Re'!$B$60/MAX(4*M20/(PI()*'Calcul Re'!$B$58*'Calcul Re'!$B$46),100))^0.7+(0.0188+0.0063*(19000*'Calcul Re'!$B$60/MAX(4*M20/(PI()*'Calcul Re'!$B$58*'Calcul Re'!$B$46),100))^0.8)*'Calcul Re'!$B$60^3.5*(1000000/MAX(4*M20/(PI()*'Calcul Re'!$B$58*'Calcul Re'!$B$46),100))^0.3)*'Calcul Re'!$B$61*(1-(0.41+0.35*'Calcul Re'!$B$60^4)*$A20/('Calcul Re'!$B$17*'Calcul Re'!$B$35))*PI()*'Calcul Re'!$B$59^2/4*SQRT(2*MAX($A20,0)*'Calcul Re'!$B$45)</f>
        <v>0.0186470479300923</v>
      </c>
      <c r="O20" s="43" t="n">
        <f aca="false">(0.5961+0.0261*'Calcul Re'!$B$60^2-0.216*'Calcul Re'!$B$60^8+0.000521*(1000000*'Calcul Re'!$B$60/MAX(4*N20/(PI()*'Calcul Re'!$B$58*'Calcul Re'!$B$46),100))^0.7+(0.0188+0.0063*(19000*'Calcul Re'!$B$60/MAX(4*N20/(PI()*'Calcul Re'!$B$58*'Calcul Re'!$B$46),100))^0.8)*'Calcul Re'!$B$60^3.5*(1000000/MAX(4*N20/(PI()*'Calcul Re'!$B$58*'Calcul Re'!$B$46),100))^0.3)*'Calcul Re'!$B$61*(1-(0.41+0.35*'Calcul Re'!$B$60^4)*$A20/('Calcul Re'!$B$17*'Calcul Re'!$B$35))*PI()*'Calcul Re'!$B$59^2/4*SQRT(2*MAX($A20,0)*'Calcul Re'!$B$45)</f>
        <v>0.0186470479300032</v>
      </c>
      <c r="P20" s="43" t="n">
        <f aca="false">(0.5961+0.0261*'Calcul Re'!$B$60^2-0.216*'Calcul Re'!$B$60^8+0.000521*(1000000*'Calcul Re'!$B$60/MAX(4*O20/(PI()*'Calcul Re'!$B$58*'Calcul Re'!$B$46),100))^0.7+(0.0188+0.0063*(19000*'Calcul Re'!$B$60/MAX(4*O20/(PI()*'Calcul Re'!$B$58*'Calcul Re'!$B$46),100))^0.8)*'Calcul Re'!$B$60^3.5*(1000000/MAX(4*O20/(PI()*'Calcul Re'!$B$58*'Calcul Re'!$B$46),100))^0.3)*'Calcul Re'!$B$61*(1-(0.41+0.35*'Calcul Re'!$B$60^4)*$A20/('Calcul Re'!$B$17*'Calcul Re'!$B$35))*PI()*'Calcul Re'!$B$59^2/4*SQRT(2*MAX($A20,0)*'Calcul Re'!$B$45)</f>
        <v>0.0186470479300043</v>
      </c>
      <c r="Q20" s="43" t="n">
        <f aca="false">(0.5961+0.0261*'Calcul Re'!$B$60^2-0.216*'Calcul Re'!$B$60^8+0.000521*(1000000*'Calcul Re'!$B$60/MAX(4*P20/(PI()*'Calcul Re'!$B$58*'Calcul Re'!$B$46),100))^0.7+(0.0188+0.0063*(19000*'Calcul Re'!$B$60/MAX(4*P20/(PI()*'Calcul Re'!$B$58*'Calcul Re'!$B$46),100))^0.8)*'Calcul Re'!$B$60^3.5*(1000000/MAX(4*P20/(PI()*'Calcul Re'!$B$58*'Calcul Re'!$B$46),100))^0.3)*'Calcul Re'!$B$61*(1-(0.41+0.35*'Calcul Re'!$B$60^4)*$A20/('Calcul Re'!$B$17*'Calcul Re'!$B$35))*PI()*'Calcul Re'!$B$59^2/4*SQRT(2*MAX($A20,0)*'Calcul Re'!$B$45)</f>
        <v>0.0186470479300043</v>
      </c>
      <c r="R20" s="43" t="n">
        <f aca="false">(0.5961+0.0261*'Calcul Re'!$B$60^2-0.216*'Calcul Re'!$B$60^8+0.000521*(1000000*'Calcul Re'!$B$60/MAX(4*Q20/(PI()*'Calcul Re'!$B$58*'Calcul Re'!$B$46),100))^0.7+(0.0188+0.0063*(19000*'Calcul Re'!$B$60/MAX(4*Q20/(PI()*'Calcul Re'!$B$58*'Calcul Re'!$B$46),100))^0.8)*'Calcul Re'!$B$60^3.5*(1000000/MAX(4*Q20/(PI()*'Calcul Re'!$B$58*'Calcul Re'!$B$46),100))^0.3)*'Calcul Re'!$B$61*(1-(0.41+0.35*'Calcul Re'!$B$60^4)*$A20/('Calcul Re'!$B$17*'Calcul Re'!$B$35))*PI()*'Calcul Re'!$B$59^2/4*SQRT(2*MAX($A20,0)*'Calcul Re'!$B$45)</f>
        <v>0.0186470479300043</v>
      </c>
    </row>
    <row r="21" customFormat="false" ht="15" hidden="false" customHeight="false" outlineLevel="0" collapsed="false">
      <c r="A21" s="42" t="n">
        <v>250</v>
      </c>
      <c r="B21" s="26" t="n">
        <f aca="false">IF($A21&lt;'Calcul Re'!$B$22,0,PI()*SQRT(2)/4*'Calcul Re'!$C$63*'Calcul Re'!$C$59^2*(1-(0.41+0.35*'Calcul Re'!$C$60^4)/'Calcul Re'!$B$17*($A21/'Calcul Re'!$B$35))*SQRT($A21)*SQRT('Calcul Re'!$B$45)/SQRT(1-'Calcul Re'!$C$60^4))</f>
        <v>0.00666234660658273</v>
      </c>
      <c r="C21" s="32" t="n">
        <f aca="false">4*B21/(PI()*'Calcul Re'!$B$26/1000*'Calcul Re'!$B$46)</f>
        <v>6131.84016740923</v>
      </c>
      <c r="D21" s="32" t="n">
        <f aca="false">B21*'Calcul Re'!$B$52/('Calcul Re'!$B$46*'Calcul Re'!$B$51)</f>
        <v>3279.11731590143</v>
      </c>
      <c r="E21" s="26" t="n">
        <f aca="false">IF($A21&lt;'Calcul Re'!$B$22,0,R21)</f>
        <v>0.0208163781314393</v>
      </c>
      <c r="F21" s="32" t="n">
        <f aca="false">4*E21/(PI()*'Calcul Re'!$B$26/1000*'Calcul Re'!$B$46)</f>
        <v>19158.8206233853</v>
      </c>
      <c r="G21" s="32" t="n">
        <f aca="false">E21*'Calcul Re'!$B$52/('Calcul Re'!$B$46*'Calcul Re'!$B$51)</f>
        <v>10245.5411007453</v>
      </c>
      <c r="H21" s="5"/>
      <c r="I21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Re'!$B$60^4)*$A21/('Calcul Re'!$B$17*'Calcul Re'!$B$35))*PI()*'Calcul Re'!$B$59^2/4*SQRT(2*MAX($A21,0)*'Calcul Re'!$B$45)</f>
        <v>0.0205688831397447</v>
      </c>
      <c r="J21" s="43" t="n">
        <f aca="false">(0.5961+0.0261*'Calcul Re'!$B$60^2-0.216*'Calcul Re'!$B$60^8+0.000521*(1000000*'Calcul Re'!$B$60/MAX(4*I21/(PI()*'Calcul Re'!$B$58*'Calcul Re'!$B$46),100))^0.7+(0.0188+0.0063*(19000*'Calcul Re'!$B$60/MAX(4*I21/(PI()*'Calcul Re'!$B$58*'Calcul Re'!$B$46),100))^0.8)*'Calcul Re'!$B$60^3.5*(1000000/MAX(4*I21/(PI()*'Calcul Re'!$B$58*'Calcul Re'!$B$46),100))^0.3)*'Calcul Re'!$B$61*(1-(0.41+0.35*'Calcul Re'!$B$60^4)*$A21/('Calcul Re'!$B$17*'Calcul Re'!$B$35))*PI()*'Calcul Re'!$B$59^2/4*SQRT(2*MAX($A21,0)*'Calcul Re'!$B$45)</f>
        <v>0.0208193683696728</v>
      </c>
      <c r="K21" s="43" t="n">
        <f aca="false">(0.5961+0.0261*'Calcul Re'!$B$60^2-0.216*'Calcul Re'!$B$60^8+0.000521*(1000000*'Calcul Re'!$B$60/MAX(4*J21/(PI()*'Calcul Re'!$B$58*'Calcul Re'!$B$46),100))^0.7+(0.0188+0.0063*(19000*'Calcul Re'!$B$60/MAX(4*J21/(PI()*'Calcul Re'!$B$58*'Calcul Re'!$B$46),100))^0.8)*'Calcul Re'!$B$60^3.5*(1000000/MAX(4*J21/(PI()*'Calcul Re'!$B$58*'Calcul Re'!$B$46),100))^0.3)*'Calcul Re'!$B$61*(1-(0.41+0.35*'Calcul Re'!$B$60^4)*$A21/('Calcul Re'!$B$17*'Calcul Re'!$B$35))*PI()*'Calcul Re'!$B$59^2/4*SQRT(2*MAX($A21,0)*'Calcul Re'!$B$45)</f>
        <v>0.0208163423667599</v>
      </c>
      <c r="L21" s="43" t="n">
        <f aca="false">(0.5961+0.0261*'Calcul Re'!$B$60^2-0.216*'Calcul Re'!$B$60^8+0.000521*(1000000*'Calcul Re'!$B$60/MAX(4*K21/(PI()*'Calcul Re'!$B$58*'Calcul Re'!$B$46),100))^0.7+(0.0188+0.0063*(19000*'Calcul Re'!$B$60/MAX(4*K21/(PI()*'Calcul Re'!$B$58*'Calcul Re'!$B$46),100))^0.8)*'Calcul Re'!$B$60^3.5*(1000000/MAX(4*K21/(PI()*'Calcul Re'!$B$58*'Calcul Re'!$B$46),100))^0.3)*'Calcul Re'!$B$61*(1-(0.41+0.35*'Calcul Re'!$B$60^4)*$A21/('Calcul Re'!$B$17*'Calcul Re'!$B$35))*PI()*'Calcul Re'!$B$59^2/4*SQRT(2*MAX($A21,0)*'Calcul Re'!$B$45)</f>
        <v>0.0208163785592539</v>
      </c>
      <c r="M21" s="43" t="n">
        <f aca="false">(0.5961+0.0261*'Calcul Re'!$B$60^2-0.216*'Calcul Re'!$B$60^8+0.000521*(1000000*'Calcul Re'!$B$60/MAX(4*L21/(PI()*'Calcul Re'!$B$58*'Calcul Re'!$B$46),100))^0.7+(0.0188+0.0063*(19000*'Calcul Re'!$B$60/MAX(4*L21/(PI()*'Calcul Re'!$B$58*'Calcul Re'!$B$46),100))^0.8)*'Calcul Re'!$B$60^3.5*(1000000/MAX(4*L21/(PI()*'Calcul Re'!$B$58*'Calcul Re'!$B$46),100))^0.3)*'Calcul Re'!$B$61*(1-(0.41+0.35*'Calcul Re'!$B$60^4)*$A21/('Calcul Re'!$B$17*'Calcul Re'!$B$35))*PI()*'Calcul Re'!$B$59^2/4*SQRT(2*MAX($A21,0)*'Calcul Re'!$B$45)</f>
        <v>0.0208163781263218</v>
      </c>
      <c r="N21" s="43" t="n">
        <f aca="false">(0.5961+0.0261*'Calcul Re'!$B$60^2-0.216*'Calcul Re'!$B$60^8+0.000521*(1000000*'Calcul Re'!$B$60/MAX(4*M21/(PI()*'Calcul Re'!$B$58*'Calcul Re'!$B$46),100))^0.7+(0.0188+0.0063*(19000*'Calcul Re'!$B$60/MAX(4*M21/(PI()*'Calcul Re'!$B$58*'Calcul Re'!$B$46),100))^0.8)*'Calcul Re'!$B$60^3.5*(1000000/MAX(4*M21/(PI()*'Calcul Re'!$B$58*'Calcul Re'!$B$46),100))^0.3)*'Calcul Re'!$B$61*(1-(0.41+0.35*'Calcul Re'!$B$60^4)*$A21/('Calcul Re'!$B$17*'Calcul Re'!$B$35))*PI()*'Calcul Re'!$B$59^2/4*SQRT(2*MAX($A21,0)*'Calcul Re'!$B$45)</f>
        <v>0.0208163781315005</v>
      </c>
      <c r="O21" s="43" t="n">
        <f aca="false">(0.5961+0.0261*'Calcul Re'!$B$60^2-0.216*'Calcul Re'!$B$60^8+0.000521*(1000000*'Calcul Re'!$B$60/MAX(4*N21/(PI()*'Calcul Re'!$B$58*'Calcul Re'!$B$46),100))^0.7+(0.0188+0.0063*(19000*'Calcul Re'!$B$60/MAX(4*N21/(PI()*'Calcul Re'!$B$58*'Calcul Re'!$B$46),100))^0.8)*'Calcul Re'!$B$60^3.5*(1000000/MAX(4*N21/(PI()*'Calcul Re'!$B$58*'Calcul Re'!$B$46),100))^0.3)*'Calcul Re'!$B$61*(1-(0.41+0.35*'Calcul Re'!$B$60^4)*$A21/('Calcul Re'!$B$17*'Calcul Re'!$B$35))*PI()*'Calcul Re'!$B$59^2/4*SQRT(2*MAX($A21,0)*'Calcul Re'!$B$45)</f>
        <v>0.0208163781314386</v>
      </c>
      <c r="P21" s="43" t="n">
        <f aca="false">(0.5961+0.0261*'Calcul Re'!$B$60^2-0.216*'Calcul Re'!$B$60^8+0.000521*(1000000*'Calcul Re'!$B$60/MAX(4*O21/(PI()*'Calcul Re'!$B$58*'Calcul Re'!$B$46),100))^0.7+(0.0188+0.0063*(19000*'Calcul Re'!$B$60/MAX(4*O21/(PI()*'Calcul Re'!$B$58*'Calcul Re'!$B$46),100))^0.8)*'Calcul Re'!$B$60^3.5*(1000000/MAX(4*O21/(PI()*'Calcul Re'!$B$58*'Calcul Re'!$B$46),100))^0.3)*'Calcul Re'!$B$61*(1-(0.41+0.35*'Calcul Re'!$B$60^4)*$A21/('Calcul Re'!$B$17*'Calcul Re'!$B$35))*PI()*'Calcul Re'!$B$59^2/4*SQRT(2*MAX($A21,0)*'Calcul Re'!$B$45)</f>
        <v>0.0208163781314393</v>
      </c>
      <c r="Q21" s="43" t="n">
        <f aca="false">(0.5961+0.0261*'Calcul Re'!$B$60^2-0.216*'Calcul Re'!$B$60^8+0.000521*(1000000*'Calcul Re'!$B$60/MAX(4*P21/(PI()*'Calcul Re'!$B$58*'Calcul Re'!$B$46),100))^0.7+(0.0188+0.0063*(19000*'Calcul Re'!$B$60/MAX(4*P21/(PI()*'Calcul Re'!$B$58*'Calcul Re'!$B$46),100))^0.8)*'Calcul Re'!$B$60^3.5*(1000000/MAX(4*P21/(PI()*'Calcul Re'!$B$58*'Calcul Re'!$B$46),100))^0.3)*'Calcul Re'!$B$61*(1-(0.41+0.35*'Calcul Re'!$B$60^4)*$A21/('Calcul Re'!$B$17*'Calcul Re'!$B$35))*PI()*'Calcul Re'!$B$59^2/4*SQRT(2*MAX($A21,0)*'Calcul Re'!$B$45)</f>
        <v>0.0208163781314393</v>
      </c>
      <c r="R21" s="43" t="n">
        <f aca="false">(0.5961+0.0261*'Calcul Re'!$B$60^2-0.216*'Calcul Re'!$B$60^8+0.000521*(1000000*'Calcul Re'!$B$60/MAX(4*Q21/(PI()*'Calcul Re'!$B$58*'Calcul Re'!$B$46),100))^0.7+(0.0188+0.0063*(19000*'Calcul Re'!$B$60/MAX(4*Q21/(PI()*'Calcul Re'!$B$58*'Calcul Re'!$B$46),100))^0.8)*'Calcul Re'!$B$60^3.5*(1000000/MAX(4*Q21/(PI()*'Calcul Re'!$B$58*'Calcul Re'!$B$46),100))^0.3)*'Calcul Re'!$B$61*(1-(0.41+0.35*'Calcul Re'!$B$60^4)*$A21/('Calcul Re'!$B$17*'Calcul Re'!$B$35))*PI()*'Calcul Re'!$B$59^2/4*SQRT(2*MAX($A21,0)*'Calcul Re'!$B$45)</f>
        <v>0.0208163781314393</v>
      </c>
    </row>
    <row r="22" customFormat="false" ht="15" hidden="false" customHeight="false" outlineLevel="0" collapsed="false">
      <c r="A22" s="42" t="n">
        <v>300</v>
      </c>
      <c r="B22" s="26" t="n">
        <f aca="false">IF($A22&lt;'Calcul Re'!$B$22,0,PI()*SQRT(2)/4*'Calcul Re'!$C$63*'Calcul Re'!$C$59^2*(1-(0.41+0.35*'Calcul Re'!$C$60^4)/'Calcul Re'!$B$17*($A22/'Calcul Re'!$B$35))*SQRT($A22)*SQRT('Calcul Re'!$B$45)/SQRT(1-'Calcul Re'!$C$60^4))</f>
        <v>0.00729717957580073</v>
      </c>
      <c r="C22" s="32" t="n">
        <f aca="false">4*B22/(PI()*'Calcul Re'!$B$26/1000*'Calcul Re'!$B$46)</f>
        <v>6716.12293294418</v>
      </c>
      <c r="D22" s="32" t="n">
        <f aca="false">B22*'Calcul Re'!$B$52/('Calcul Re'!$B$46*'Calcul Re'!$B$51)</f>
        <v>3591.57355767232</v>
      </c>
      <c r="E22" s="26" t="n">
        <f aca="false">IF($A22&lt;'Calcul Re'!$B$22,0,R22)</f>
        <v>0.0227758756523753</v>
      </c>
      <c r="F22" s="32" t="n">
        <f aca="false">4*E22/(PI()*'Calcul Re'!$B$26/1000*'Calcul Re'!$B$46)</f>
        <v>20962.2881276041</v>
      </c>
      <c r="G22" s="32" t="n">
        <f aca="false">E22*'Calcul Re'!$B$52/('Calcul Re'!$B$46*'Calcul Re'!$B$51)</f>
        <v>11209.9794031624</v>
      </c>
      <c r="H22" s="5"/>
      <c r="I22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Re'!$B$60^4)*$A22/('Calcul Re'!$B$17*'Calcul Re'!$B$35))*PI()*'Calcul Re'!$B$59^2/4*SQRT(2*MAX($A22,0)*'Calcul Re'!$B$45)</f>
        <v>0.0225286121911294</v>
      </c>
      <c r="J22" s="43" t="n">
        <f aca="false">(0.5961+0.0261*'Calcul Re'!$B$60^2-0.216*'Calcul Re'!$B$60^8+0.000521*(1000000*'Calcul Re'!$B$60/MAX(4*I22/(PI()*'Calcul Re'!$B$58*'Calcul Re'!$B$46),100))^0.7+(0.0188+0.0063*(19000*'Calcul Re'!$B$60/MAX(4*I22/(PI()*'Calcul Re'!$B$58*'Calcul Re'!$B$46),100))^0.8)*'Calcul Re'!$B$60^3.5*(1000000/MAX(4*I22/(PI()*'Calcul Re'!$B$58*'Calcul Re'!$B$46),100))^0.3)*'Calcul Re'!$B$61*(1-(0.41+0.35*'Calcul Re'!$B$60^4)*$A22/('Calcul Re'!$B$17*'Calcul Re'!$B$35))*PI()*'Calcul Re'!$B$59^2/4*SQRT(2*MAX($A22,0)*'Calcul Re'!$B$45)</f>
        <v>0.0227786894152561</v>
      </c>
      <c r="K22" s="43" t="n">
        <f aca="false">(0.5961+0.0261*'Calcul Re'!$B$60^2-0.216*'Calcul Re'!$B$60^8+0.000521*(1000000*'Calcul Re'!$B$60/MAX(4*J22/(PI()*'Calcul Re'!$B$58*'Calcul Re'!$B$46),100))^0.7+(0.0188+0.0063*(19000*'Calcul Re'!$B$60/MAX(4*J22/(PI()*'Calcul Re'!$B$58*'Calcul Re'!$B$46),100))^0.8)*'Calcul Re'!$B$60^3.5*(1000000/MAX(4*J22/(PI()*'Calcul Re'!$B$58*'Calcul Re'!$B$46),100))^0.3)*'Calcul Re'!$B$61*(1-(0.41+0.35*'Calcul Re'!$B$60^4)*$A22/('Calcul Re'!$B$17*'Calcul Re'!$B$35))*PI()*'Calcul Re'!$B$59^2/4*SQRT(2*MAX($A22,0)*'Calcul Re'!$B$45)</f>
        <v>0.0227758439255034</v>
      </c>
      <c r="L22" s="43" t="n">
        <f aca="false">(0.5961+0.0261*'Calcul Re'!$B$60^2-0.216*'Calcul Re'!$B$60^8+0.000521*(1000000*'Calcul Re'!$B$60/MAX(4*K22/(PI()*'Calcul Re'!$B$58*'Calcul Re'!$B$46),100))^0.7+(0.0188+0.0063*(19000*'Calcul Re'!$B$60/MAX(4*K22/(PI()*'Calcul Re'!$B$58*'Calcul Re'!$B$46),100))^0.8)*'Calcul Re'!$B$60^3.5*(1000000/MAX(4*K22/(PI()*'Calcul Re'!$B$58*'Calcul Re'!$B$46),100))^0.3)*'Calcul Re'!$B$61*(1-(0.41+0.35*'Calcul Re'!$B$60^4)*$A22/('Calcul Re'!$B$17*'Calcul Re'!$B$35))*PI()*'Calcul Re'!$B$59^2/4*SQRT(2*MAX($A22,0)*'Calcul Re'!$B$45)</f>
        <v>0.0227758760101521</v>
      </c>
      <c r="M22" s="43" t="n">
        <f aca="false">(0.5961+0.0261*'Calcul Re'!$B$60^2-0.216*'Calcul Re'!$B$60^8+0.000521*(1000000*'Calcul Re'!$B$60/MAX(4*L22/(PI()*'Calcul Re'!$B$58*'Calcul Re'!$B$46),100))^0.7+(0.0188+0.0063*(19000*'Calcul Re'!$B$60/MAX(4*L22/(PI()*'Calcul Re'!$B$58*'Calcul Re'!$B$46),100))^0.8)*'Calcul Re'!$B$60^3.5*(1000000/MAX(4*L22/(PI()*'Calcul Re'!$B$58*'Calcul Re'!$B$46),100))^0.3)*'Calcul Re'!$B$61*(1-(0.41+0.35*'Calcul Re'!$B$60^4)*$A22/('Calcul Re'!$B$17*'Calcul Re'!$B$35))*PI()*'Calcul Re'!$B$59^2/4*SQRT(2*MAX($A22,0)*'Calcul Re'!$B$45)</f>
        <v>0.0227758756483407</v>
      </c>
      <c r="N22" s="43" t="n">
        <f aca="false">(0.5961+0.0261*'Calcul Re'!$B$60^2-0.216*'Calcul Re'!$B$60^8+0.000521*(1000000*'Calcul Re'!$B$60/MAX(4*M22/(PI()*'Calcul Re'!$B$58*'Calcul Re'!$B$46),100))^0.7+(0.0188+0.0063*(19000*'Calcul Re'!$B$60/MAX(4*M22/(PI()*'Calcul Re'!$B$58*'Calcul Re'!$B$46),100))^0.8)*'Calcul Re'!$B$60^3.5*(1000000/MAX(4*M22/(PI()*'Calcul Re'!$B$58*'Calcul Re'!$B$46),100))^0.3)*'Calcul Re'!$B$61*(1-(0.41+0.35*'Calcul Re'!$B$60^4)*$A22/('Calcul Re'!$B$17*'Calcul Re'!$B$35))*PI()*'Calcul Re'!$B$59^2/4*SQRT(2*MAX($A22,0)*'Calcul Re'!$B$45)</f>
        <v>0.0227758756524208</v>
      </c>
      <c r="O22" s="43" t="n">
        <f aca="false">(0.5961+0.0261*'Calcul Re'!$B$60^2-0.216*'Calcul Re'!$B$60^8+0.000521*(1000000*'Calcul Re'!$B$60/MAX(4*N22/(PI()*'Calcul Re'!$B$58*'Calcul Re'!$B$46),100))^0.7+(0.0188+0.0063*(19000*'Calcul Re'!$B$60/MAX(4*N22/(PI()*'Calcul Re'!$B$58*'Calcul Re'!$B$46),100))^0.8)*'Calcul Re'!$B$60^3.5*(1000000/MAX(4*N22/(PI()*'Calcul Re'!$B$58*'Calcul Re'!$B$46),100))^0.3)*'Calcul Re'!$B$61*(1-(0.41+0.35*'Calcul Re'!$B$60^4)*$A22/('Calcul Re'!$B$17*'Calcul Re'!$B$35))*PI()*'Calcul Re'!$B$59^2/4*SQRT(2*MAX($A22,0)*'Calcul Re'!$B$45)</f>
        <v>0.0227758756523748</v>
      </c>
      <c r="P22" s="43" t="n">
        <f aca="false">(0.5961+0.0261*'Calcul Re'!$B$60^2-0.216*'Calcul Re'!$B$60^8+0.000521*(1000000*'Calcul Re'!$B$60/MAX(4*O22/(PI()*'Calcul Re'!$B$58*'Calcul Re'!$B$46),100))^0.7+(0.0188+0.0063*(19000*'Calcul Re'!$B$60/MAX(4*O22/(PI()*'Calcul Re'!$B$58*'Calcul Re'!$B$46),100))^0.8)*'Calcul Re'!$B$60^3.5*(1000000/MAX(4*O22/(PI()*'Calcul Re'!$B$58*'Calcul Re'!$B$46),100))^0.3)*'Calcul Re'!$B$61*(1-(0.41+0.35*'Calcul Re'!$B$60^4)*$A22/('Calcul Re'!$B$17*'Calcul Re'!$B$35))*PI()*'Calcul Re'!$B$59^2/4*SQRT(2*MAX($A22,0)*'Calcul Re'!$B$45)</f>
        <v>0.0227758756523753</v>
      </c>
      <c r="Q22" s="43" t="n">
        <f aca="false">(0.5961+0.0261*'Calcul Re'!$B$60^2-0.216*'Calcul Re'!$B$60^8+0.000521*(1000000*'Calcul Re'!$B$60/MAX(4*P22/(PI()*'Calcul Re'!$B$58*'Calcul Re'!$B$46),100))^0.7+(0.0188+0.0063*(19000*'Calcul Re'!$B$60/MAX(4*P22/(PI()*'Calcul Re'!$B$58*'Calcul Re'!$B$46),100))^0.8)*'Calcul Re'!$B$60^3.5*(1000000/MAX(4*P22/(PI()*'Calcul Re'!$B$58*'Calcul Re'!$B$46),100))^0.3)*'Calcul Re'!$B$61*(1-(0.41+0.35*'Calcul Re'!$B$60^4)*$A22/('Calcul Re'!$B$17*'Calcul Re'!$B$35))*PI()*'Calcul Re'!$B$59^2/4*SQRT(2*MAX($A22,0)*'Calcul Re'!$B$45)</f>
        <v>0.0227758756523753</v>
      </c>
      <c r="R22" s="43" t="n">
        <f aca="false">(0.5961+0.0261*'Calcul Re'!$B$60^2-0.216*'Calcul Re'!$B$60^8+0.000521*(1000000*'Calcul Re'!$B$60/MAX(4*Q22/(PI()*'Calcul Re'!$B$58*'Calcul Re'!$B$46),100))^0.7+(0.0188+0.0063*(19000*'Calcul Re'!$B$60/MAX(4*Q22/(PI()*'Calcul Re'!$B$58*'Calcul Re'!$B$46),100))^0.8)*'Calcul Re'!$B$60^3.5*(1000000/MAX(4*Q22/(PI()*'Calcul Re'!$B$58*'Calcul Re'!$B$46),100))^0.3)*'Calcul Re'!$B$61*(1-(0.41+0.35*'Calcul Re'!$B$60^4)*$A22/('Calcul Re'!$B$17*'Calcul Re'!$B$35))*PI()*'Calcul Re'!$B$59^2/4*SQRT(2*MAX($A22,0)*'Calcul Re'!$B$45)</f>
        <v>0.0227758756523753</v>
      </c>
    </row>
    <row r="23" customFormat="false" ht="15" hidden="false" customHeight="false" outlineLevel="0" collapsed="false">
      <c r="A23" s="42" t="n">
        <v>350</v>
      </c>
      <c r="B23" s="26" t="n">
        <f aca="false">IF($A23&lt;'Calcul Re'!$B$22,0,PI()*SQRT(2)/4*'Calcul Re'!$C$63*'Calcul Re'!$C$59^2*(1-(0.41+0.35*'Calcul Re'!$C$60^4)/'Calcul Re'!$B$17*($A23/'Calcul Re'!$B$35))*SQRT($A23)*SQRT('Calcul Re'!$B$45)/SQRT(1-'Calcul Re'!$C$60^4))</f>
        <v>0.00788071474005284</v>
      </c>
      <c r="C23" s="32" t="n">
        <f aca="false">4*B23/(PI()*'Calcul Re'!$B$26/1000*'Calcul Re'!$B$46)</f>
        <v>7253.19261282566</v>
      </c>
      <c r="D23" s="32" t="n">
        <f aca="false">B23*'Calcul Re'!$B$52/('Calcul Re'!$B$46*'Calcul Re'!$B$51)</f>
        <v>3878.78171037423</v>
      </c>
      <c r="E23" s="26" t="n">
        <f aca="false">IF($A23&lt;'Calcul Re'!$B$22,0,R23)</f>
        <v>0.0245763865584827</v>
      </c>
      <c r="F23" s="32" t="n">
        <f aca="false">4*E23/(PI()*'Calcul Re'!$B$26/1000*'Calcul Re'!$B$46)</f>
        <v>22619.4287340414</v>
      </c>
      <c r="G23" s="32" t="n">
        <f aca="false">E23*'Calcul Re'!$B$52/('Calcul Re'!$B$46*'Calcul Re'!$B$51)</f>
        <v>12096.1666339278</v>
      </c>
      <c r="H23" s="5"/>
      <c r="I23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Re'!$B$60^4)*$A23/('Calcul Re'!$B$17*'Calcul Re'!$B$35))*PI()*'Calcul Re'!$B$59^2/4*SQRT(2*MAX($A23,0)*'Calcul Re'!$B$45)</f>
        <v>0.0243299338944369</v>
      </c>
      <c r="J23" s="43" t="n">
        <f aca="false">(0.5961+0.0261*'Calcul Re'!$B$60^2-0.216*'Calcul Re'!$B$60^8+0.000521*(1000000*'Calcul Re'!$B$60/MAX(4*I23/(PI()*'Calcul Re'!$B$58*'Calcul Re'!$B$46),100))^0.7+(0.0188+0.0063*(19000*'Calcul Re'!$B$60/MAX(4*I23/(PI()*'Calcul Re'!$B$58*'Calcul Re'!$B$46),100))^0.8)*'Calcul Re'!$B$60^3.5*(1000000/MAX(4*I23/(PI()*'Calcul Re'!$B$58*'Calcul Re'!$B$46),100))^0.3)*'Calcul Re'!$B$61*(1-(0.41+0.35*'Calcul Re'!$B$60^4)*$A23/('Calcul Re'!$B$17*'Calcul Re'!$B$35))*PI()*'Calcul Re'!$B$59^2/4*SQRT(2*MAX($A23,0)*'Calcul Re'!$B$45)</f>
        <v>0.0245790538670874</v>
      </c>
      <c r="K23" s="43" t="n">
        <f aca="false">(0.5961+0.0261*'Calcul Re'!$B$60^2-0.216*'Calcul Re'!$B$60^8+0.000521*(1000000*'Calcul Re'!$B$60/MAX(4*J23/(PI()*'Calcul Re'!$B$58*'Calcul Re'!$B$46),100))^0.7+(0.0188+0.0063*(19000*'Calcul Re'!$B$60/MAX(4*J23/(PI()*'Calcul Re'!$B$58*'Calcul Re'!$B$46),100))^0.8)*'Calcul Re'!$B$60^3.5*(1000000/MAX(4*J23/(PI()*'Calcul Re'!$B$58*'Calcul Re'!$B$46),100))^0.3)*'Calcul Re'!$B$61*(1-(0.41+0.35*'Calcul Re'!$B$60^4)*$A23/('Calcul Re'!$B$17*'Calcul Re'!$B$35))*PI()*'Calcul Re'!$B$59^2/4*SQRT(2*MAX($A23,0)*'Calcul Re'!$B$45)</f>
        <v>0.0245763579334482</v>
      </c>
      <c r="L23" s="43" t="n">
        <f aca="false">(0.5961+0.0261*'Calcul Re'!$B$60^2-0.216*'Calcul Re'!$B$60^8+0.000521*(1000000*'Calcul Re'!$B$60/MAX(4*K23/(PI()*'Calcul Re'!$B$58*'Calcul Re'!$B$46),100))^0.7+(0.0188+0.0063*(19000*'Calcul Re'!$B$60/MAX(4*K23/(PI()*'Calcul Re'!$B$58*'Calcul Re'!$B$46),100))^0.8)*'Calcul Re'!$B$60^3.5*(1000000/MAX(4*K23/(PI()*'Calcul Re'!$B$58*'Calcul Re'!$B$46),100))^0.3)*'Calcul Re'!$B$61*(1-(0.41+0.35*'Calcul Re'!$B$60^4)*$A23/('Calcul Re'!$B$17*'Calcul Re'!$B$35))*PI()*'Calcul Re'!$B$59^2/4*SQRT(2*MAX($A23,0)*'Calcul Re'!$B$45)</f>
        <v>0.0245763868657089</v>
      </c>
      <c r="M23" s="43" t="n">
        <f aca="false">(0.5961+0.0261*'Calcul Re'!$B$60^2-0.216*'Calcul Re'!$B$60^8+0.000521*(1000000*'Calcul Re'!$B$60/MAX(4*L23/(PI()*'Calcul Re'!$B$58*'Calcul Re'!$B$46),100))^0.7+(0.0188+0.0063*(19000*'Calcul Re'!$B$60/MAX(4*L23/(PI()*'Calcul Re'!$B$58*'Calcul Re'!$B$46),100))^0.8)*'Calcul Re'!$B$60^3.5*(1000000/MAX(4*L23/(PI()*'Calcul Re'!$B$58*'Calcul Re'!$B$46),100))^0.3)*'Calcul Re'!$B$61*(1-(0.41+0.35*'Calcul Re'!$B$60^4)*$A23/('Calcul Re'!$B$17*'Calcul Re'!$B$35))*PI()*'Calcul Re'!$B$59^2/4*SQRT(2*MAX($A23,0)*'Calcul Re'!$B$45)</f>
        <v>0.0245763865551853</v>
      </c>
      <c r="N23" s="43" t="n">
        <f aca="false">(0.5961+0.0261*'Calcul Re'!$B$60^2-0.216*'Calcul Re'!$B$60^8+0.000521*(1000000*'Calcul Re'!$B$60/MAX(4*M23/(PI()*'Calcul Re'!$B$58*'Calcul Re'!$B$46),100))^0.7+(0.0188+0.0063*(19000*'Calcul Re'!$B$60/MAX(4*M23/(PI()*'Calcul Re'!$B$58*'Calcul Re'!$B$46),100))^0.8)*'Calcul Re'!$B$60^3.5*(1000000/MAX(4*M23/(PI()*'Calcul Re'!$B$58*'Calcul Re'!$B$46),100))^0.3)*'Calcul Re'!$B$61*(1-(0.41+0.35*'Calcul Re'!$B$60^4)*$A23/('Calcul Re'!$B$17*'Calcul Re'!$B$35))*PI()*'Calcul Re'!$B$59^2/4*SQRT(2*MAX($A23,0)*'Calcul Re'!$B$45)</f>
        <v>0.0245763865585181</v>
      </c>
      <c r="O23" s="43" t="n">
        <f aca="false">(0.5961+0.0261*'Calcul Re'!$B$60^2-0.216*'Calcul Re'!$B$60^8+0.000521*(1000000*'Calcul Re'!$B$60/MAX(4*N23/(PI()*'Calcul Re'!$B$58*'Calcul Re'!$B$46),100))^0.7+(0.0188+0.0063*(19000*'Calcul Re'!$B$60/MAX(4*N23/(PI()*'Calcul Re'!$B$58*'Calcul Re'!$B$46),100))^0.8)*'Calcul Re'!$B$60^3.5*(1000000/MAX(4*N23/(PI()*'Calcul Re'!$B$58*'Calcul Re'!$B$46),100))^0.3)*'Calcul Re'!$B$61*(1-(0.41+0.35*'Calcul Re'!$B$60^4)*$A23/('Calcul Re'!$B$17*'Calcul Re'!$B$35))*PI()*'Calcul Re'!$B$59^2/4*SQRT(2*MAX($A23,0)*'Calcul Re'!$B$45)</f>
        <v>0.0245763865584823</v>
      </c>
      <c r="P23" s="43" t="n">
        <f aca="false">(0.5961+0.0261*'Calcul Re'!$B$60^2-0.216*'Calcul Re'!$B$60^8+0.000521*(1000000*'Calcul Re'!$B$60/MAX(4*O23/(PI()*'Calcul Re'!$B$58*'Calcul Re'!$B$46),100))^0.7+(0.0188+0.0063*(19000*'Calcul Re'!$B$60/MAX(4*O23/(PI()*'Calcul Re'!$B$58*'Calcul Re'!$B$46),100))^0.8)*'Calcul Re'!$B$60^3.5*(1000000/MAX(4*O23/(PI()*'Calcul Re'!$B$58*'Calcul Re'!$B$46),100))^0.3)*'Calcul Re'!$B$61*(1-(0.41+0.35*'Calcul Re'!$B$60^4)*$A23/('Calcul Re'!$B$17*'Calcul Re'!$B$35))*PI()*'Calcul Re'!$B$59^2/4*SQRT(2*MAX($A23,0)*'Calcul Re'!$B$45)</f>
        <v>0.0245763865584827</v>
      </c>
      <c r="Q23" s="43" t="n">
        <f aca="false">(0.5961+0.0261*'Calcul Re'!$B$60^2-0.216*'Calcul Re'!$B$60^8+0.000521*(1000000*'Calcul Re'!$B$60/MAX(4*P23/(PI()*'Calcul Re'!$B$58*'Calcul Re'!$B$46),100))^0.7+(0.0188+0.0063*(19000*'Calcul Re'!$B$60/MAX(4*P23/(PI()*'Calcul Re'!$B$58*'Calcul Re'!$B$46),100))^0.8)*'Calcul Re'!$B$60^3.5*(1000000/MAX(4*P23/(PI()*'Calcul Re'!$B$58*'Calcul Re'!$B$46),100))^0.3)*'Calcul Re'!$B$61*(1-(0.41+0.35*'Calcul Re'!$B$60^4)*$A23/('Calcul Re'!$B$17*'Calcul Re'!$B$35))*PI()*'Calcul Re'!$B$59^2/4*SQRT(2*MAX($A23,0)*'Calcul Re'!$B$45)</f>
        <v>0.0245763865584827</v>
      </c>
      <c r="R23" s="43" t="n">
        <f aca="false">(0.5961+0.0261*'Calcul Re'!$B$60^2-0.216*'Calcul Re'!$B$60^8+0.000521*(1000000*'Calcul Re'!$B$60/MAX(4*Q23/(PI()*'Calcul Re'!$B$58*'Calcul Re'!$B$46),100))^0.7+(0.0188+0.0063*(19000*'Calcul Re'!$B$60/MAX(4*Q23/(PI()*'Calcul Re'!$B$58*'Calcul Re'!$B$46),100))^0.8)*'Calcul Re'!$B$60^3.5*(1000000/MAX(4*Q23/(PI()*'Calcul Re'!$B$58*'Calcul Re'!$B$46),100))^0.3)*'Calcul Re'!$B$61*(1-(0.41+0.35*'Calcul Re'!$B$60^4)*$A23/('Calcul Re'!$B$17*'Calcul Re'!$B$35))*PI()*'Calcul Re'!$B$59^2/4*SQRT(2*MAX($A23,0)*'Calcul Re'!$B$45)</f>
        <v>0.0245763865584827</v>
      </c>
    </row>
    <row r="24" customFormat="false" ht="15" hidden="false" customHeight="false" outlineLevel="0" collapsed="false">
      <c r="A24" s="42" t="n">
        <v>400</v>
      </c>
      <c r="B24" s="26" t="n">
        <f aca="false">IF($A24&lt;'Calcul Re'!$B$22,0,PI()*SQRT(2)/4*'Calcul Re'!$C$63*'Calcul Re'!$C$59^2*(1-(0.41+0.35*'Calcul Re'!$C$60^4)/'Calcul Re'!$B$17*($A24/'Calcul Re'!$B$35))*SQRT($A24)*SQRT('Calcul Re'!$B$45)/SQRT(1-'Calcul Re'!$C$60^4))</f>
        <v>0.00842361968384538</v>
      </c>
      <c r="C24" s="32" t="n">
        <f aca="false">4*B24/(PI()*'Calcul Re'!$B$26/1000*'Calcul Re'!$B$46)</f>
        <v>7752.86735777857</v>
      </c>
      <c r="D24" s="32" t="n">
        <f aca="false">B24*'Calcul Re'!$B$52/('Calcul Re'!$B$46*'Calcul Re'!$B$51)</f>
        <v>4145.9922155016</v>
      </c>
      <c r="E24" s="26" t="n">
        <f aca="false">IF($A24&lt;'Calcul Re'!$B$22,0,R24)</f>
        <v>0.0262510254964091</v>
      </c>
      <c r="F24" s="32" t="n">
        <f aca="false">4*E24/(PI()*'Calcul Re'!$B$26/1000*'Calcul Re'!$B$46)</f>
        <v>24160.7202506579</v>
      </c>
      <c r="G24" s="32" t="n">
        <f aca="false">E24*'Calcul Re'!$B$52/('Calcul Re'!$B$46*'Calcul Re'!$B$51)</f>
        <v>12920.4013763549</v>
      </c>
      <c r="H24" s="5"/>
      <c r="I24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Re'!$B$60^4)*$A24/('Calcul Re'!$B$17*'Calcul Re'!$B$35))*PI()*'Calcul Re'!$B$59^2/4*SQRT(2*MAX($A24,0)*'Calcul Re'!$B$45)</f>
        <v>0.0260057861601606</v>
      </c>
      <c r="J24" s="43" t="n">
        <f aca="false">(0.5961+0.0261*'Calcul Re'!$B$60^2-0.216*'Calcul Re'!$B$60^8+0.000521*(1000000*'Calcul Re'!$B$60/MAX(4*I24/(PI()*'Calcul Re'!$B$58*'Calcul Re'!$B$46),100))^0.7+(0.0188+0.0063*(19000*'Calcul Re'!$B$60/MAX(4*I24/(PI()*'Calcul Re'!$B$58*'Calcul Re'!$B$46),100))^0.8)*'Calcul Re'!$B$60^3.5*(1000000/MAX(4*I24/(PI()*'Calcul Re'!$B$58*'Calcul Re'!$B$46),100))^0.3)*'Calcul Re'!$B$61*(1-(0.41+0.35*'Calcul Re'!$B$60^4)*$A24/('Calcul Re'!$B$17*'Calcul Re'!$B$35))*PI()*'Calcul Re'!$B$59^2/4*SQRT(2*MAX($A24,0)*'Calcul Re'!$B$45)</f>
        <v>0.0262535676936493</v>
      </c>
      <c r="K24" s="43" t="n">
        <f aca="false">(0.5961+0.0261*'Calcul Re'!$B$60^2-0.216*'Calcul Re'!$B$60^8+0.000521*(1000000*'Calcul Re'!$B$60/MAX(4*J24/(PI()*'Calcul Re'!$B$58*'Calcul Re'!$B$46),100))^0.7+(0.0188+0.0063*(19000*'Calcul Re'!$B$60/MAX(4*J24/(PI()*'Calcul Re'!$B$58*'Calcul Re'!$B$46),100))^0.8)*'Calcul Re'!$B$60^3.5*(1000000/MAX(4*J24/(PI()*'Calcul Re'!$B$58*'Calcul Re'!$B$46),100))^0.3)*'Calcul Re'!$B$61*(1-(0.41+0.35*'Calcul Re'!$B$60^4)*$A24/('Calcul Re'!$B$17*'Calcul Re'!$B$35))*PI()*'Calcul Re'!$B$59^2/4*SQRT(2*MAX($A24,0)*'Calcul Re'!$B$45)</f>
        <v>0.0262509993492002</v>
      </c>
      <c r="L24" s="43" t="n">
        <f aca="false">(0.5961+0.0261*'Calcul Re'!$B$60^2-0.216*'Calcul Re'!$B$60^8+0.000521*(1000000*'Calcul Re'!$B$60/MAX(4*K24/(PI()*'Calcul Re'!$B$58*'Calcul Re'!$B$46),100))^0.7+(0.0188+0.0063*(19000*'Calcul Re'!$B$60/MAX(4*K24/(PI()*'Calcul Re'!$B$58*'Calcul Re'!$B$46),100))^0.8)*'Calcul Re'!$B$60^3.5*(1000000/MAX(4*K24/(PI()*'Calcul Re'!$B$58*'Calcul Re'!$B$46),100))^0.3)*'Calcul Re'!$B$61*(1-(0.41+0.35*'Calcul Re'!$B$60^4)*$A24/('Calcul Re'!$B$17*'Calcul Re'!$B$35))*PI()*'Calcul Re'!$B$59^2/4*SQRT(2*MAX($A24,0)*'Calcul Re'!$B$45)</f>
        <v>0.0262510257653622</v>
      </c>
      <c r="M24" s="43" t="n">
        <f aca="false">(0.5961+0.0261*'Calcul Re'!$B$60^2-0.216*'Calcul Re'!$B$60^8+0.000521*(1000000*'Calcul Re'!$B$60/MAX(4*L24/(PI()*'Calcul Re'!$B$58*'Calcul Re'!$B$46),100))^0.7+(0.0188+0.0063*(19000*'Calcul Re'!$B$60/MAX(4*L24/(PI()*'Calcul Re'!$B$58*'Calcul Re'!$B$46),100))^0.8)*'Calcul Re'!$B$60^3.5*(1000000/MAX(4*L24/(PI()*'Calcul Re'!$B$58*'Calcul Re'!$B$46),100))^0.3)*'Calcul Re'!$B$61*(1-(0.41+0.35*'Calcul Re'!$B$60^4)*$A24/('Calcul Re'!$B$17*'Calcul Re'!$B$35))*PI()*'Calcul Re'!$B$59^2/4*SQRT(2*MAX($A24,0)*'Calcul Re'!$B$45)</f>
        <v>0.0262510254936426</v>
      </c>
      <c r="N24" s="43" t="n">
        <f aca="false">(0.5961+0.0261*'Calcul Re'!$B$60^2-0.216*'Calcul Re'!$B$60^8+0.000521*(1000000*'Calcul Re'!$B$60/MAX(4*M24/(PI()*'Calcul Re'!$B$58*'Calcul Re'!$B$46),100))^0.7+(0.0188+0.0063*(19000*'Calcul Re'!$B$60/MAX(4*M24/(PI()*'Calcul Re'!$B$58*'Calcul Re'!$B$46),100))^0.8)*'Calcul Re'!$B$60^3.5*(1000000/MAX(4*M24/(PI()*'Calcul Re'!$B$58*'Calcul Re'!$B$46),100))^0.3)*'Calcul Re'!$B$61*(1-(0.41+0.35*'Calcul Re'!$B$60^4)*$A24/('Calcul Re'!$B$17*'Calcul Re'!$B$35))*PI()*'Calcul Re'!$B$59^2/4*SQRT(2*MAX($A24,0)*'Calcul Re'!$B$45)</f>
        <v>0.0262510254964376</v>
      </c>
      <c r="O24" s="43" t="n">
        <f aca="false">(0.5961+0.0261*'Calcul Re'!$B$60^2-0.216*'Calcul Re'!$B$60^8+0.000521*(1000000*'Calcul Re'!$B$60/MAX(4*N24/(PI()*'Calcul Re'!$B$58*'Calcul Re'!$B$46),100))^0.7+(0.0188+0.0063*(19000*'Calcul Re'!$B$60/MAX(4*N24/(PI()*'Calcul Re'!$B$58*'Calcul Re'!$B$46),100))^0.8)*'Calcul Re'!$B$60^3.5*(1000000/MAX(4*N24/(PI()*'Calcul Re'!$B$58*'Calcul Re'!$B$46),100))^0.3)*'Calcul Re'!$B$61*(1-(0.41+0.35*'Calcul Re'!$B$60^4)*$A24/('Calcul Re'!$B$17*'Calcul Re'!$B$35))*PI()*'Calcul Re'!$B$59^2/4*SQRT(2*MAX($A24,0)*'Calcul Re'!$B$45)</f>
        <v>0.0262510254964088</v>
      </c>
      <c r="P24" s="43" t="n">
        <f aca="false">(0.5961+0.0261*'Calcul Re'!$B$60^2-0.216*'Calcul Re'!$B$60^8+0.000521*(1000000*'Calcul Re'!$B$60/MAX(4*O24/(PI()*'Calcul Re'!$B$58*'Calcul Re'!$B$46),100))^0.7+(0.0188+0.0063*(19000*'Calcul Re'!$B$60/MAX(4*O24/(PI()*'Calcul Re'!$B$58*'Calcul Re'!$B$46),100))^0.8)*'Calcul Re'!$B$60^3.5*(1000000/MAX(4*O24/(PI()*'Calcul Re'!$B$58*'Calcul Re'!$B$46),100))^0.3)*'Calcul Re'!$B$61*(1-(0.41+0.35*'Calcul Re'!$B$60^4)*$A24/('Calcul Re'!$B$17*'Calcul Re'!$B$35))*PI()*'Calcul Re'!$B$59^2/4*SQRT(2*MAX($A24,0)*'Calcul Re'!$B$45)</f>
        <v>0.0262510254964091</v>
      </c>
      <c r="Q24" s="43" t="n">
        <f aca="false">(0.5961+0.0261*'Calcul Re'!$B$60^2-0.216*'Calcul Re'!$B$60^8+0.000521*(1000000*'Calcul Re'!$B$60/MAX(4*P24/(PI()*'Calcul Re'!$B$58*'Calcul Re'!$B$46),100))^0.7+(0.0188+0.0063*(19000*'Calcul Re'!$B$60/MAX(4*P24/(PI()*'Calcul Re'!$B$58*'Calcul Re'!$B$46),100))^0.8)*'Calcul Re'!$B$60^3.5*(1000000/MAX(4*P24/(PI()*'Calcul Re'!$B$58*'Calcul Re'!$B$46),100))^0.3)*'Calcul Re'!$B$61*(1-(0.41+0.35*'Calcul Re'!$B$60^4)*$A24/('Calcul Re'!$B$17*'Calcul Re'!$B$35))*PI()*'Calcul Re'!$B$59^2/4*SQRT(2*MAX($A24,0)*'Calcul Re'!$B$45)</f>
        <v>0.0262510254964091</v>
      </c>
      <c r="R24" s="43" t="n">
        <f aca="false">(0.5961+0.0261*'Calcul Re'!$B$60^2-0.216*'Calcul Re'!$B$60^8+0.000521*(1000000*'Calcul Re'!$B$60/MAX(4*Q24/(PI()*'Calcul Re'!$B$58*'Calcul Re'!$B$46),100))^0.7+(0.0188+0.0063*(19000*'Calcul Re'!$B$60/MAX(4*Q24/(PI()*'Calcul Re'!$B$58*'Calcul Re'!$B$46),100))^0.8)*'Calcul Re'!$B$60^3.5*(1000000/MAX(4*Q24/(PI()*'Calcul Re'!$B$58*'Calcul Re'!$B$46),100))^0.3)*'Calcul Re'!$B$61*(1-(0.41+0.35*'Calcul Re'!$B$60^4)*$A24/('Calcul Re'!$B$17*'Calcul Re'!$B$35))*PI()*'Calcul Re'!$B$59^2/4*SQRT(2*MAX($A24,0)*'Calcul Re'!$B$45)</f>
        <v>0.0262510254964091</v>
      </c>
    </row>
    <row r="25" customFormat="false" ht="15" hidden="false" customHeight="false" outlineLevel="0" collapsed="false">
      <c r="A25" s="42" t="n">
        <v>450</v>
      </c>
      <c r="B25" s="26" t="n">
        <f aca="false">IF($A25&lt;'Calcul Re'!$B$22,0,PI()*SQRT(2)/4*'Calcul Re'!$C$63*'Calcul Re'!$C$59^2*(1-(0.41+0.35*'Calcul Re'!$C$60^4)/'Calcul Re'!$B$17*($A25/'Calcul Re'!$B$35))*SQRT($A25)*SQRT('Calcul Re'!$B$45)/SQRT(1-'Calcul Re'!$C$60^4))</f>
        <v>0.00893330522077029</v>
      </c>
      <c r="C25" s="32" t="n">
        <f aca="false">4*B25/(PI()*'Calcul Re'!$B$26/1000*'Calcul Re'!$B$46)</f>
        <v>8221.96787635198</v>
      </c>
      <c r="D25" s="32" t="n">
        <f aca="false">B25*'Calcul Re'!$B$52/('Calcul Re'!$B$46*'Calcul Re'!$B$51)</f>
        <v>4396.85257574519</v>
      </c>
      <c r="E25" s="26" t="n">
        <f aca="false">IF($A25&lt;'Calcul Re'!$B$22,0,R25)</f>
        <v>0.027822786527537</v>
      </c>
      <c r="F25" s="32" t="n">
        <f aca="false">4*E25/(PI()*'Calcul Re'!$B$26/1000*'Calcul Re'!$B$46)</f>
        <v>25607.3257777129</v>
      </c>
      <c r="G25" s="32" t="n">
        <f aca="false">E25*'Calcul Re'!$B$52/('Calcul Re'!$B$46*'Calcul Re'!$B$51)</f>
        <v>13694.0009979264</v>
      </c>
      <c r="H25" s="5"/>
      <c r="I25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Re'!$B$60^4)*$A25/('Calcul Re'!$B$17*'Calcul Re'!$B$35))*PI()*'Calcul Re'!$B$59^2/4*SQRT(2*MAX($A25,0)*'Calcul Re'!$B$45)</f>
        <v>0.02757905130353</v>
      </c>
      <c r="J25" s="43" t="n">
        <f aca="false">(0.5961+0.0261*'Calcul Re'!$B$60^2-0.216*'Calcul Re'!$B$60^8+0.000521*(1000000*'Calcul Re'!$B$60/MAX(4*I25/(PI()*'Calcul Re'!$B$58*'Calcul Re'!$B$46),100))^0.7+(0.0188+0.0063*(19000*'Calcul Re'!$B$60/MAX(4*I25/(PI()*'Calcul Re'!$B$58*'Calcul Re'!$B$46),100))^0.8)*'Calcul Re'!$B$60^3.5*(1000000/MAX(4*I25/(PI()*'Calcul Re'!$B$58*'Calcul Re'!$B$46),100))^0.3)*'Calcul Re'!$B$61*(1-(0.41+0.35*'Calcul Re'!$B$60^4)*$A25/('Calcul Re'!$B$17*'Calcul Re'!$B$35))*PI()*'Calcul Re'!$B$59^2/4*SQRT(2*MAX($A25,0)*'Calcul Re'!$B$45)</f>
        <v>0.0278252195330681</v>
      </c>
      <c r="K25" s="43" t="n">
        <f aca="false">(0.5961+0.0261*'Calcul Re'!$B$60^2-0.216*'Calcul Re'!$B$60^8+0.000521*(1000000*'Calcul Re'!$B$60/MAX(4*J25/(PI()*'Calcul Re'!$B$58*'Calcul Re'!$B$46),100))^0.7+(0.0188+0.0063*(19000*'Calcul Re'!$B$60/MAX(4*J25/(PI()*'Calcul Re'!$B$58*'Calcul Re'!$B$46),100))^0.8)*'Calcul Re'!$B$60^3.5*(1000000/MAX(4*J25/(PI()*'Calcul Re'!$B$58*'Calcul Re'!$B$46),100))^0.3)*'Calcul Re'!$B$61*(1-(0.41+0.35*'Calcul Re'!$B$60^4)*$A25/('Calcul Re'!$B$17*'Calcul Re'!$B$35))*PI()*'Calcul Re'!$B$59^2/4*SQRT(2*MAX($A25,0)*'Calcul Re'!$B$45)</f>
        <v>0.0278227624180729</v>
      </c>
      <c r="L25" s="43" t="n">
        <f aca="false">(0.5961+0.0261*'Calcul Re'!$B$60^2-0.216*'Calcul Re'!$B$60^8+0.000521*(1000000*'Calcul Re'!$B$60/MAX(4*K25/(PI()*'Calcul Re'!$B$58*'Calcul Re'!$B$46),100))^0.7+(0.0188+0.0063*(19000*'Calcul Re'!$B$60/MAX(4*K25/(PI()*'Calcul Re'!$B$58*'Calcul Re'!$B$46),100))^0.8)*'Calcul Re'!$B$60^3.5*(1000000/MAX(4*K25/(PI()*'Calcul Re'!$B$58*'Calcul Re'!$B$46),100))^0.3)*'Calcul Re'!$B$61*(1-(0.41+0.35*'Calcul Re'!$B$60^4)*$A25/('Calcul Re'!$B$17*'Calcul Re'!$B$35))*PI()*'Calcul Re'!$B$59^2/4*SQRT(2*MAX($A25,0)*'Calcul Re'!$B$45)</f>
        <v>0.0278227867664632</v>
      </c>
      <c r="M25" s="43" t="n">
        <f aca="false">(0.5961+0.0261*'Calcul Re'!$B$60^2-0.216*'Calcul Re'!$B$60^8+0.000521*(1000000*'Calcul Re'!$B$60/MAX(4*L25/(PI()*'Calcul Re'!$B$58*'Calcul Re'!$B$46),100))^0.7+(0.0188+0.0063*(19000*'Calcul Re'!$B$60/MAX(4*L25/(PI()*'Calcul Re'!$B$58*'Calcul Re'!$B$46),100))^0.8)*'Calcul Re'!$B$60^3.5*(1000000/MAX(4*L25/(PI()*'Calcul Re'!$B$58*'Calcul Re'!$B$46),100))^0.3)*'Calcul Re'!$B$61*(1-(0.41+0.35*'Calcul Re'!$B$60^4)*$A25/('Calcul Re'!$B$17*'Calcul Re'!$B$35))*PI()*'Calcul Re'!$B$59^2/4*SQRT(2*MAX($A25,0)*'Calcul Re'!$B$45)</f>
        <v>0.0278227865251693</v>
      </c>
      <c r="N25" s="43" t="n">
        <f aca="false">(0.5961+0.0261*'Calcul Re'!$B$60^2-0.216*'Calcul Re'!$B$60^8+0.000521*(1000000*'Calcul Re'!$B$60/MAX(4*M25/(PI()*'Calcul Re'!$B$58*'Calcul Re'!$B$46),100))^0.7+(0.0188+0.0063*(19000*'Calcul Re'!$B$60/MAX(4*M25/(PI()*'Calcul Re'!$B$58*'Calcul Re'!$B$46),100))^0.8)*'Calcul Re'!$B$60^3.5*(1000000/MAX(4*M25/(PI()*'Calcul Re'!$B$58*'Calcul Re'!$B$46),100))^0.3)*'Calcul Re'!$B$61*(1-(0.41+0.35*'Calcul Re'!$B$60^4)*$A25/('Calcul Re'!$B$17*'Calcul Re'!$B$35))*PI()*'Calcul Re'!$B$59^2/4*SQRT(2*MAX($A25,0)*'Calcul Re'!$B$45)</f>
        <v>0.0278227865275605</v>
      </c>
      <c r="O25" s="43" t="n">
        <f aca="false">(0.5961+0.0261*'Calcul Re'!$B$60^2-0.216*'Calcul Re'!$B$60^8+0.000521*(1000000*'Calcul Re'!$B$60/MAX(4*N25/(PI()*'Calcul Re'!$B$58*'Calcul Re'!$B$46),100))^0.7+(0.0188+0.0063*(19000*'Calcul Re'!$B$60/MAX(4*N25/(PI()*'Calcul Re'!$B$58*'Calcul Re'!$B$46),100))^0.8)*'Calcul Re'!$B$60^3.5*(1000000/MAX(4*N25/(PI()*'Calcul Re'!$B$58*'Calcul Re'!$B$46),100))^0.3)*'Calcul Re'!$B$61*(1-(0.41+0.35*'Calcul Re'!$B$60^4)*$A25/('Calcul Re'!$B$17*'Calcul Re'!$B$35))*PI()*'Calcul Re'!$B$59^2/4*SQRT(2*MAX($A25,0)*'Calcul Re'!$B$45)</f>
        <v>0.0278227865275368</v>
      </c>
      <c r="P25" s="43" t="n">
        <f aca="false">(0.5961+0.0261*'Calcul Re'!$B$60^2-0.216*'Calcul Re'!$B$60^8+0.000521*(1000000*'Calcul Re'!$B$60/MAX(4*O25/(PI()*'Calcul Re'!$B$58*'Calcul Re'!$B$46),100))^0.7+(0.0188+0.0063*(19000*'Calcul Re'!$B$60/MAX(4*O25/(PI()*'Calcul Re'!$B$58*'Calcul Re'!$B$46),100))^0.8)*'Calcul Re'!$B$60^3.5*(1000000/MAX(4*O25/(PI()*'Calcul Re'!$B$58*'Calcul Re'!$B$46),100))^0.3)*'Calcul Re'!$B$61*(1-(0.41+0.35*'Calcul Re'!$B$60^4)*$A25/('Calcul Re'!$B$17*'Calcul Re'!$B$35))*PI()*'Calcul Re'!$B$59^2/4*SQRT(2*MAX($A25,0)*'Calcul Re'!$B$45)</f>
        <v>0.027822786527537</v>
      </c>
      <c r="Q25" s="43" t="n">
        <f aca="false">(0.5961+0.0261*'Calcul Re'!$B$60^2-0.216*'Calcul Re'!$B$60^8+0.000521*(1000000*'Calcul Re'!$B$60/MAX(4*P25/(PI()*'Calcul Re'!$B$58*'Calcul Re'!$B$46),100))^0.7+(0.0188+0.0063*(19000*'Calcul Re'!$B$60/MAX(4*P25/(PI()*'Calcul Re'!$B$58*'Calcul Re'!$B$46),100))^0.8)*'Calcul Re'!$B$60^3.5*(1000000/MAX(4*P25/(PI()*'Calcul Re'!$B$58*'Calcul Re'!$B$46),100))^0.3)*'Calcul Re'!$B$61*(1-(0.41+0.35*'Calcul Re'!$B$60^4)*$A25/('Calcul Re'!$B$17*'Calcul Re'!$B$35))*PI()*'Calcul Re'!$B$59^2/4*SQRT(2*MAX($A25,0)*'Calcul Re'!$B$45)</f>
        <v>0.027822786527537</v>
      </c>
      <c r="R25" s="43" t="n">
        <f aca="false">(0.5961+0.0261*'Calcul Re'!$B$60^2-0.216*'Calcul Re'!$B$60^8+0.000521*(1000000*'Calcul Re'!$B$60/MAX(4*Q25/(PI()*'Calcul Re'!$B$58*'Calcul Re'!$B$46),100))^0.7+(0.0188+0.0063*(19000*'Calcul Re'!$B$60/MAX(4*Q25/(PI()*'Calcul Re'!$B$58*'Calcul Re'!$B$46),100))^0.8)*'Calcul Re'!$B$60^3.5*(1000000/MAX(4*Q25/(PI()*'Calcul Re'!$B$58*'Calcul Re'!$B$46),100))^0.3)*'Calcul Re'!$B$61*(1-(0.41+0.35*'Calcul Re'!$B$60^4)*$A25/('Calcul Re'!$B$17*'Calcul Re'!$B$35))*PI()*'Calcul Re'!$B$59^2/4*SQRT(2*MAX($A25,0)*'Calcul Re'!$B$45)</f>
        <v>0.027822786527537</v>
      </c>
    </row>
    <row r="26" customFormat="false" ht="15" hidden="false" customHeight="false" outlineLevel="0" collapsed="false">
      <c r="A26" s="42" t="n">
        <v>496</v>
      </c>
      <c r="B26" s="26" t="n">
        <f aca="false">IF($A26&lt;'Calcul Re'!$B$22,0,PI()*SQRT(2)/4*'Calcul Re'!$C$63*'Calcul Re'!$C$59^2*(1-(0.41+0.35*'Calcul Re'!$C$60^4)/'Calcul Re'!$B$17*($A26/'Calcul Re'!$B$35))*SQRT($A26)*SQRT('Calcul Re'!$B$45)/SQRT(1-'Calcul Re'!$C$60^4))</f>
        <v>0.0093775401815782</v>
      </c>
      <c r="C26" s="32" t="n">
        <f aca="false">4*B26/(PI()*'Calcul Re'!$B$26/1000*'Calcul Re'!$B$46)</f>
        <v>8630.82948882918</v>
      </c>
      <c r="D26" s="32" t="n">
        <f aca="false">B26*'Calcul Re'!$B$52/('Calcul Re'!$B$46*'Calcul Re'!$B$51)</f>
        <v>4615.49904347395</v>
      </c>
      <c r="E26" s="26" t="n">
        <f aca="false">IF($A26&lt;'Calcul Re'!$B$22,0,R26)</f>
        <v>0.0291924095409234</v>
      </c>
      <c r="F26" s="32" t="n">
        <f aca="false">4*E26/(PI()*'Calcul Re'!$B$26/1000*'Calcul Re'!$B$46)</f>
        <v>26867.8890452248</v>
      </c>
      <c r="G26" s="32" t="n">
        <f aca="false">E26*'Calcul Re'!$B$52/('Calcul Re'!$B$46*'Calcul Re'!$B$51)</f>
        <v>14368.1110082064</v>
      </c>
      <c r="H26" s="5"/>
      <c r="I26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Re'!$B$60^4)*$A26/('Calcul Re'!$B$17*'Calcul Re'!$B$35))*PI()*'Calcul Re'!$B$59^2/4*SQRT(2*MAX($A26,0)*'Calcul Re'!$B$45)</f>
        <v>0.028950250331748</v>
      </c>
      <c r="J26" s="43" t="n">
        <f aca="false">(0.5961+0.0261*'Calcul Re'!$B$60^2-0.216*'Calcul Re'!$B$60^8+0.000521*(1000000*'Calcul Re'!$B$60/MAX(4*I26/(PI()*'Calcul Re'!$B$58*'Calcul Re'!$B$46),100))^0.7+(0.0188+0.0063*(19000*'Calcul Re'!$B$60/MAX(4*I26/(PI()*'Calcul Re'!$B$58*'Calcul Re'!$B$46),100))^0.8)*'Calcul Re'!$B$60^3.5*(1000000/MAX(4*I26/(PI()*'Calcul Re'!$B$58*'Calcul Re'!$B$46),100))^0.3)*'Calcul Re'!$B$61*(1-(0.41+0.35*'Calcul Re'!$B$60^4)*$A26/('Calcul Re'!$B$17*'Calcul Re'!$B$35))*PI()*'Calcul Re'!$B$59^2/4*SQRT(2*MAX($A26,0)*'Calcul Re'!$B$45)</f>
        <v>0.0291947530292996</v>
      </c>
      <c r="K26" s="43" t="n">
        <f aca="false">(0.5961+0.0261*'Calcul Re'!$B$60^2-0.216*'Calcul Re'!$B$60^8+0.000521*(1000000*'Calcul Re'!$B$60/MAX(4*J26/(PI()*'Calcul Re'!$B$58*'Calcul Re'!$B$46),100))^0.7+(0.0188+0.0063*(19000*'Calcul Re'!$B$60/MAX(4*J26/(PI()*'Calcul Re'!$B$58*'Calcul Re'!$B$46),100))^0.8)*'Calcul Re'!$B$60^3.5*(1000000/MAX(4*J26/(PI()*'Calcul Re'!$B$58*'Calcul Re'!$B$46),100))^0.3)*'Calcul Re'!$B$61*(1-(0.41+0.35*'Calcul Re'!$B$60^4)*$A26/('Calcul Re'!$B$17*'Calcul Re'!$B$35))*PI()*'Calcul Re'!$B$59^2/4*SQRT(2*MAX($A26,0)*'Calcul Re'!$B$45)</f>
        <v>0.0291923870181738</v>
      </c>
      <c r="L26" s="43" t="n">
        <f aca="false">(0.5961+0.0261*'Calcul Re'!$B$60^2-0.216*'Calcul Re'!$B$60^8+0.000521*(1000000*'Calcul Re'!$B$60/MAX(4*K26/(PI()*'Calcul Re'!$B$58*'Calcul Re'!$B$46),100))^0.7+(0.0188+0.0063*(19000*'Calcul Re'!$B$60/MAX(4*K26/(PI()*'Calcul Re'!$B$58*'Calcul Re'!$B$46),100))^0.8)*'Calcul Re'!$B$60^3.5*(1000000/MAX(4*K26/(PI()*'Calcul Re'!$B$58*'Calcul Re'!$B$46),100))^0.3)*'Calcul Re'!$B$61*(1-(0.41+0.35*'Calcul Re'!$B$60^4)*$A26/('Calcul Re'!$B$17*'Calcul Re'!$B$35))*PI()*'Calcul Re'!$B$59^2/4*SQRT(2*MAX($A26,0)*'Calcul Re'!$B$45)</f>
        <v>0.0291924097573991</v>
      </c>
      <c r="M26" s="43" t="n">
        <f aca="false">(0.5961+0.0261*'Calcul Re'!$B$60^2-0.216*'Calcul Re'!$B$60^8+0.000521*(1000000*'Calcul Re'!$B$60/MAX(4*L26/(PI()*'Calcul Re'!$B$58*'Calcul Re'!$B$46),100))^0.7+(0.0188+0.0063*(19000*'Calcul Re'!$B$60/MAX(4*L26/(PI()*'Calcul Re'!$B$58*'Calcul Re'!$B$46),100))^0.8)*'Calcul Re'!$B$60^3.5*(1000000/MAX(4*L26/(PI()*'Calcul Re'!$B$58*'Calcul Re'!$B$46),100))^0.3)*'Calcul Re'!$B$61*(1-(0.41+0.35*'Calcul Re'!$B$60^4)*$A26/('Calcul Re'!$B$17*'Calcul Re'!$B$35))*PI()*'Calcul Re'!$B$59^2/4*SQRT(2*MAX($A26,0)*'Calcul Re'!$B$45)</f>
        <v>0.0291924095388428</v>
      </c>
      <c r="N26" s="43" t="n">
        <f aca="false">(0.5961+0.0261*'Calcul Re'!$B$60^2-0.216*'Calcul Re'!$B$60^8+0.000521*(1000000*'Calcul Re'!$B$60/MAX(4*M26/(PI()*'Calcul Re'!$B$58*'Calcul Re'!$B$46),100))^0.7+(0.0188+0.0063*(19000*'Calcul Re'!$B$60/MAX(4*M26/(PI()*'Calcul Re'!$B$58*'Calcul Re'!$B$46),100))^0.8)*'Calcul Re'!$B$60^3.5*(1000000/MAX(4*M26/(PI()*'Calcul Re'!$B$58*'Calcul Re'!$B$46),100))^0.3)*'Calcul Re'!$B$61*(1-(0.41+0.35*'Calcul Re'!$B$60^4)*$A26/('Calcul Re'!$B$17*'Calcul Re'!$B$35))*PI()*'Calcul Re'!$B$59^2/4*SQRT(2*MAX($A26,0)*'Calcul Re'!$B$45)</f>
        <v>0.0291924095409435</v>
      </c>
      <c r="O26" s="43" t="n">
        <f aca="false">(0.5961+0.0261*'Calcul Re'!$B$60^2-0.216*'Calcul Re'!$B$60^8+0.000521*(1000000*'Calcul Re'!$B$60/MAX(4*N26/(PI()*'Calcul Re'!$B$58*'Calcul Re'!$B$46),100))^0.7+(0.0188+0.0063*(19000*'Calcul Re'!$B$60/MAX(4*N26/(PI()*'Calcul Re'!$B$58*'Calcul Re'!$B$46),100))^0.8)*'Calcul Re'!$B$60^3.5*(1000000/MAX(4*N26/(PI()*'Calcul Re'!$B$58*'Calcul Re'!$B$46),100))^0.3)*'Calcul Re'!$B$61*(1-(0.41+0.35*'Calcul Re'!$B$60^4)*$A26/('Calcul Re'!$B$17*'Calcul Re'!$B$35))*PI()*'Calcul Re'!$B$59^2/4*SQRT(2*MAX($A26,0)*'Calcul Re'!$B$45)</f>
        <v>0.0291924095409233</v>
      </c>
      <c r="P26" s="43" t="n">
        <f aca="false">(0.5961+0.0261*'Calcul Re'!$B$60^2-0.216*'Calcul Re'!$B$60^8+0.000521*(1000000*'Calcul Re'!$B$60/MAX(4*O26/(PI()*'Calcul Re'!$B$58*'Calcul Re'!$B$46),100))^0.7+(0.0188+0.0063*(19000*'Calcul Re'!$B$60/MAX(4*O26/(PI()*'Calcul Re'!$B$58*'Calcul Re'!$B$46),100))^0.8)*'Calcul Re'!$B$60^3.5*(1000000/MAX(4*O26/(PI()*'Calcul Re'!$B$58*'Calcul Re'!$B$46),100))^0.3)*'Calcul Re'!$B$61*(1-(0.41+0.35*'Calcul Re'!$B$60^4)*$A26/('Calcul Re'!$B$17*'Calcul Re'!$B$35))*PI()*'Calcul Re'!$B$59^2/4*SQRT(2*MAX($A26,0)*'Calcul Re'!$B$45)</f>
        <v>0.0291924095409234</v>
      </c>
      <c r="Q26" s="43" t="n">
        <f aca="false">(0.5961+0.0261*'Calcul Re'!$B$60^2-0.216*'Calcul Re'!$B$60^8+0.000521*(1000000*'Calcul Re'!$B$60/MAX(4*P26/(PI()*'Calcul Re'!$B$58*'Calcul Re'!$B$46),100))^0.7+(0.0188+0.0063*(19000*'Calcul Re'!$B$60/MAX(4*P26/(PI()*'Calcul Re'!$B$58*'Calcul Re'!$B$46),100))^0.8)*'Calcul Re'!$B$60^3.5*(1000000/MAX(4*P26/(PI()*'Calcul Re'!$B$58*'Calcul Re'!$B$46),100))^0.3)*'Calcul Re'!$B$61*(1-(0.41+0.35*'Calcul Re'!$B$60^4)*$A26/('Calcul Re'!$B$17*'Calcul Re'!$B$35))*PI()*'Calcul Re'!$B$59^2/4*SQRT(2*MAX($A26,0)*'Calcul Re'!$B$45)</f>
        <v>0.0291924095409234</v>
      </c>
      <c r="R26" s="43" t="n">
        <f aca="false">(0.5961+0.0261*'Calcul Re'!$B$60^2-0.216*'Calcul Re'!$B$60^8+0.000521*(1000000*'Calcul Re'!$B$60/MAX(4*Q26/(PI()*'Calcul Re'!$B$58*'Calcul Re'!$B$46),100))^0.7+(0.0188+0.0063*(19000*'Calcul Re'!$B$60/MAX(4*Q26/(PI()*'Calcul Re'!$B$58*'Calcul Re'!$B$46),100))^0.8)*'Calcul Re'!$B$60^3.5*(1000000/MAX(4*Q26/(PI()*'Calcul Re'!$B$58*'Calcul Re'!$B$46),100))^0.3)*'Calcul Re'!$B$61*(1-(0.41+0.35*'Calcul Re'!$B$60^4)*$A26/('Calcul Re'!$B$17*'Calcul Re'!$B$35))*PI()*'Calcul Re'!$B$59^2/4*SQRT(2*MAX($A26,0)*'Calcul Re'!$B$45)</f>
        <v>0.0291924095409234</v>
      </c>
    </row>
    <row r="27" customFormat="false" ht="15" hidden="false" customHeight="false" outlineLevel="0" collapsed="false">
      <c r="A27" s="42" t="n">
        <v>500</v>
      </c>
      <c r="B27" s="26" t="n">
        <f aca="false">IF($A27&lt;'Calcul Re'!$B$22,0,PI()*SQRT(2)/4*'Calcul Re'!$C$63*'Calcul Re'!$C$59^2*(1-(0.41+0.35*'Calcul Re'!$C$60^4)/'Calcul Re'!$B$17*($A27/'Calcul Re'!$B$35))*SQRT($A27)*SQRT('Calcul Re'!$B$45)/SQRT(1-'Calcul Re'!$C$60^4))</f>
        <v>0.00941516790589652</v>
      </c>
      <c r="C27" s="32" t="n">
        <f aca="false">4*B27/(PI()*'Calcul Re'!$B$26/1000*'Calcul Re'!$B$46)</f>
        <v>8665.4610090739</v>
      </c>
      <c r="D27" s="32" t="n">
        <f aca="false">B27*'Calcul Re'!$B$52/('Calcul Re'!$B$46*'Calcul Re'!$B$51)</f>
        <v>4634.01890286527</v>
      </c>
      <c r="E27" s="26" t="n">
        <f aca="false">IF($A27&lt;'Calcul Re'!$B$22,0,R27)</f>
        <v>0.0293084073537258</v>
      </c>
      <c r="F27" s="32" t="n">
        <f aca="false">4*E27/(PI()*'Calcul Re'!$B$26/1000*'Calcul Re'!$B$46)</f>
        <v>26974.6502346187</v>
      </c>
      <c r="G27" s="32" t="n">
        <f aca="false">E27*'Calcul Re'!$B$52/('Calcul Re'!$B$46*'Calcul Re'!$B$51)</f>
        <v>14425.2035701862</v>
      </c>
      <c r="H27" s="5"/>
      <c r="I27" s="43" t="n">
        <f aca="false">(0.5961+0.0261*'Calcul Re'!$B$60^2-0.216*'Calcul Re'!$B$60^8+0.000521*(1000000*'Calcul Re'!$B$60/MAX(4*0.1/(PI()*'Calcul Re'!$B$58*'Calcul Re'!$B$46),100))^0.7+(0.0188+0.0063*(19000*'Calcul Re'!$B$60/MAX(4*0.1/(PI()*'Calcul Re'!$B$58*'Calcul Re'!$B$46),100))^0.8)*'Calcul Re'!$B$60^3.5*(1000000/MAX(4*0.1/(PI()*'Calcul Re'!$B$58*'Calcul Re'!$B$46),100))^0.3)*'Calcul Re'!$B$61*(1-(0.41+0.35*'Calcul Re'!$B$60^4)*$A27/('Calcul Re'!$B$17*'Calcul Re'!$B$35))*PI()*'Calcul Re'!$B$59^2/4*SQRT(2*MAX($A27,0)*'Calcul Re'!$B$45)</f>
        <v>0.0290663923859726</v>
      </c>
      <c r="J27" s="43" t="n">
        <f aca="false">(0.5961+0.0261*'Calcul Re'!$B$60^2-0.216*'Calcul Re'!$B$60^8+0.000521*(1000000*'Calcul Re'!$B$60/MAX(4*I27/(PI()*'Calcul Re'!$B$58*'Calcul Re'!$B$46),100))^0.7+(0.0188+0.0063*(19000*'Calcul Re'!$B$60/MAX(4*I27/(PI()*'Calcul Re'!$B$58*'Calcul Re'!$B$46),100))^0.8)*'Calcul Re'!$B$60^3.5*(1000000/MAX(4*I27/(PI()*'Calcul Re'!$B$58*'Calcul Re'!$B$46),100))^0.3)*'Calcul Re'!$B$61*(1-(0.41+0.35*'Calcul Re'!$B$60^4)*$A27/('Calcul Re'!$B$17*'Calcul Re'!$B$35))*PI()*'Calcul Re'!$B$59^2/4*SQRT(2*MAX($A27,0)*'Calcul Re'!$B$45)</f>
        <v>0.0293107434804767</v>
      </c>
      <c r="K27" s="43" t="n">
        <f aca="false">(0.5961+0.0261*'Calcul Re'!$B$60^2-0.216*'Calcul Re'!$B$60^8+0.000521*(1000000*'Calcul Re'!$B$60/MAX(4*J27/(PI()*'Calcul Re'!$B$58*'Calcul Re'!$B$46),100))^0.7+(0.0188+0.0063*(19000*'Calcul Re'!$B$60/MAX(4*J27/(PI()*'Calcul Re'!$B$58*'Calcul Re'!$B$46),100))^0.8)*'Calcul Re'!$B$60^3.5*(1000000/MAX(4*J27/(PI()*'Calcul Re'!$B$58*'Calcul Re'!$B$46),100))^0.3)*'Calcul Re'!$B$61*(1-(0.41+0.35*'Calcul Re'!$B$60^4)*$A27/('Calcul Re'!$B$17*'Calcul Re'!$B$35))*PI()*'Calcul Re'!$B$59^2/4*SQRT(2*MAX($A27,0)*'Calcul Re'!$B$45)</f>
        <v>0.0293083849581765</v>
      </c>
      <c r="L27" s="43" t="n">
        <f aca="false">(0.5961+0.0261*'Calcul Re'!$B$60^2-0.216*'Calcul Re'!$B$60^8+0.000521*(1000000*'Calcul Re'!$B$60/MAX(4*K27/(PI()*'Calcul Re'!$B$58*'Calcul Re'!$B$46),100))^0.7+(0.0188+0.0063*(19000*'Calcul Re'!$B$60/MAX(4*K27/(PI()*'Calcul Re'!$B$58*'Calcul Re'!$B$46),100))^0.8)*'Calcul Re'!$B$60^3.5*(1000000/MAX(4*K27/(PI()*'Calcul Re'!$B$58*'Calcul Re'!$B$46),100))^0.3)*'Calcul Re'!$B$61*(1-(0.41+0.35*'Calcul Re'!$B$60^4)*$A27/('Calcul Re'!$B$17*'Calcul Re'!$B$35))*PI()*'Calcul Re'!$B$59^2/4*SQRT(2*MAX($A27,0)*'Calcul Re'!$B$45)</f>
        <v>0.0293084075684375</v>
      </c>
      <c r="M27" s="43" t="n">
        <f aca="false">(0.5961+0.0261*'Calcul Re'!$B$60^2-0.216*'Calcul Re'!$B$60^8+0.000521*(1000000*'Calcul Re'!$B$60/MAX(4*L27/(PI()*'Calcul Re'!$B$58*'Calcul Re'!$B$46),100))^0.7+(0.0188+0.0063*(19000*'Calcul Re'!$B$60/MAX(4*L27/(PI()*'Calcul Re'!$B$58*'Calcul Re'!$B$46),100))^0.8)*'Calcul Re'!$B$60^3.5*(1000000/MAX(4*L27/(PI()*'Calcul Re'!$B$58*'Calcul Re'!$B$46),100))^0.3)*'Calcul Re'!$B$61*(1-(0.41+0.35*'Calcul Re'!$B$60^4)*$A27/('Calcul Re'!$B$17*'Calcul Re'!$B$35))*PI()*'Calcul Re'!$B$59^2/4*SQRT(2*MAX($A27,0)*'Calcul Re'!$B$45)</f>
        <v>0.0293084073516673</v>
      </c>
      <c r="N27" s="43" t="n">
        <f aca="false">(0.5961+0.0261*'Calcul Re'!$B$60^2-0.216*'Calcul Re'!$B$60^8+0.000521*(1000000*'Calcul Re'!$B$60/MAX(4*M27/(PI()*'Calcul Re'!$B$58*'Calcul Re'!$B$46),100))^0.7+(0.0188+0.0063*(19000*'Calcul Re'!$B$60/MAX(4*M27/(PI()*'Calcul Re'!$B$58*'Calcul Re'!$B$46),100))^0.8)*'Calcul Re'!$B$60^3.5*(1000000/MAX(4*M27/(PI()*'Calcul Re'!$B$58*'Calcul Re'!$B$46),100))^0.3)*'Calcul Re'!$B$61*(1-(0.41+0.35*'Calcul Re'!$B$60^4)*$A27/('Calcul Re'!$B$17*'Calcul Re'!$B$35))*PI()*'Calcul Re'!$B$59^2/4*SQRT(2*MAX($A27,0)*'Calcul Re'!$B$45)</f>
        <v>0.0293084073537455</v>
      </c>
      <c r="O27" s="43" t="n">
        <f aca="false">(0.5961+0.0261*'Calcul Re'!$B$60^2-0.216*'Calcul Re'!$B$60^8+0.000521*(1000000*'Calcul Re'!$B$60/MAX(4*N27/(PI()*'Calcul Re'!$B$58*'Calcul Re'!$B$46),100))^0.7+(0.0188+0.0063*(19000*'Calcul Re'!$B$60/MAX(4*N27/(PI()*'Calcul Re'!$B$58*'Calcul Re'!$B$46),100))^0.8)*'Calcul Re'!$B$60^3.5*(1000000/MAX(4*N27/(PI()*'Calcul Re'!$B$58*'Calcul Re'!$B$46),100))^0.3)*'Calcul Re'!$B$61*(1-(0.41+0.35*'Calcul Re'!$B$60^4)*$A27/('Calcul Re'!$B$17*'Calcul Re'!$B$35))*PI()*'Calcul Re'!$B$59^2/4*SQRT(2*MAX($A27,0)*'Calcul Re'!$B$45)</f>
        <v>0.0293084073537256</v>
      </c>
      <c r="P27" s="43" t="n">
        <f aca="false">(0.5961+0.0261*'Calcul Re'!$B$60^2-0.216*'Calcul Re'!$B$60^8+0.000521*(1000000*'Calcul Re'!$B$60/MAX(4*O27/(PI()*'Calcul Re'!$B$58*'Calcul Re'!$B$46),100))^0.7+(0.0188+0.0063*(19000*'Calcul Re'!$B$60/MAX(4*O27/(PI()*'Calcul Re'!$B$58*'Calcul Re'!$B$46),100))^0.8)*'Calcul Re'!$B$60^3.5*(1000000/MAX(4*O27/(PI()*'Calcul Re'!$B$58*'Calcul Re'!$B$46),100))^0.3)*'Calcul Re'!$B$61*(1-(0.41+0.35*'Calcul Re'!$B$60^4)*$A27/('Calcul Re'!$B$17*'Calcul Re'!$B$35))*PI()*'Calcul Re'!$B$59^2/4*SQRT(2*MAX($A27,0)*'Calcul Re'!$B$45)</f>
        <v>0.0293084073537258</v>
      </c>
      <c r="Q27" s="43" t="n">
        <f aca="false">(0.5961+0.0261*'Calcul Re'!$B$60^2-0.216*'Calcul Re'!$B$60^8+0.000521*(1000000*'Calcul Re'!$B$60/MAX(4*P27/(PI()*'Calcul Re'!$B$58*'Calcul Re'!$B$46),100))^0.7+(0.0188+0.0063*(19000*'Calcul Re'!$B$60/MAX(4*P27/(PI()*'Calcul Re'!$B$58*'Calcul Re'!$B$46),100))^0.8)*'Calcul Re'!$B$60^3.5*(1000000/MAX(4*P27/(PI()*'Calcul Re'!$B$58*'Calcul Re'!$B$46),100))^0.3)*'Calcul Re'!$B$61*(1-(0.41+0.35*'Calcul Re'!$B$60^4)*$A27/('Calcul Re'!$B$17*'Calcul Re'!$B$35))*PI()*'Calcul Re'!$B$59^2/4*SQRT(2*MAX($A27,0)*'Calcul Re'!$B$45)</f>
        <v>0.0293084073537258</v>
      </c>
      <c r="R27" s="43" t="n">
        <f aca="false">(0.5961+0.0261*'Calcul Re'!$B$60^2-0.216*'Calcul Re'!$B$60^8+0.000521*(1000000*'Calcul Re'!$B$60/MAX(4*Q27/(PI()*'Calcul Re'!$B$58*'Calcul Re'!$B$46),100))^0.7+(0.0188+0.0063*(19000*'Calcul Re'!$B$60/MAX(4*Q27/(PI()*'Calcul Re'!$B$58*'Calcul Re'!$B$46),100))^0.8)*'Calcul Re'!$B$60^3.5*(1000000/MAX(4*Q27/(PI()*'Calcul Re'!$B$58*'Calcul Re'!$B$46),100))^0.3)*'Calcul Re'!$B$61*(1-(0.41+0.35*'Calcul Re'!$B$60^4)*$A27/('Calcul Re'!$B$17*'Calcul Re'!$B$35))*PI()*'Calcul Re'!$B$59^2/4*SQRT(2*MAX($A27,0)*'Calcul Re'!$B$45)</f>
        <v>0.0293084073537258</v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15" hidden="false" customHeight="false" outlineLevel="0" collapsed="false">
      <c r="A29" s="6" t="s">
        <v>183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2026-10-19T11:21:18Z</dcterms:created>
  <dc:creator>openpyxl</dc:creator>
  <dc:description/>
  <dc:language>en-US</dc:language>
  <cp:lastModifiedBy/>
  <dcterms:modified xsi:type="dcterms:W3CDTF">2026-10-19T11:21:18Z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